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filterPrivacy="1"/>
  <xr:revisionPtr revIDLastSave="0" documentId="8_{2F39141D-C61E-4FAE-BB7D-AB655FE5E6C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BK_NBFC" sheetId="3" r:id="rId1"/>
    <sheet name="Fixed Deposit" sheetId="1" r:id="rId2"/>
    <sheet name="Commercials " sheetId="2" r:id="rId3"/>
  </sheets>
  <definedNames>
    <definedName name="_xlnm._FilterDatabase" localSheetId="1" hidden="1">'Fixed Deposit'!$A$1:$N$304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3" l="1"/>
  <c r="B8" i="3" a="1"/>
  <c r="B8" i="3" s="1"/>
  <c r="I5" i="3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2" i="1"/>
  <c r="B5" i="3" l="1"/>
  <c r="G5" i="3"/>
  <c r="C5" i="3"/>
  <c r="D5" i="3"/>
  <c r="B4" i="3"/>
  <c r="N6" i="1"/>
  <c r="N186" i="1"/>
  <c r="D4" i="3" s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M73" i="1" s="1"/>
  <c r="N73" i="1" s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M113" i="1" s="1"/>
  <c r="N113" i="1" s="1"/>
  <c r="L114" i="1"/>
  <c r="M114" i="1" s="1"/>
  <c r="N114" i="1" s="1"/>
  <c r="L115" i="1"/>
  <c r="L116" i="1"/>
  <c r="L117" i="1"/>
  <c r="L118" i="1"/>
  <c r="L119" i="1"/>
  <c r="L120" i="1"/>
  <c r="L121" i="1"/>
  <c r="M121" i="1" s="1"/>
  <c r="N121" i="1" s="1"/>
  <c r="L122" i="1"/>
  <c r="L123" i="1"/>
  <c r="L124" i="1"/>
  <c r="L125" i="1"/>
  <c r="L126" i="1"/>
  <c r="L127" i="1"/>
  <c r="L128" i="1"/>
  <c r="L129" i="1"/>
  <c r="L130" i="1"/>
  <c r="M130" i="1" s="1"/>
  <c r="N130" i="1" s="1"/>
  <c r="L131" i="1"/>
  <c r="L132" i="1"/>
  <c r="L133" i="1"/>
  <c r="L134" i="1"/>
  <c r="L135" i="1"/>
  <c r="L136" i="1"/>
  <c r="L137" i="1"/>
  <c r="L138" i="1"/>
  <c r="M138" i="1" s="1"/>
  <c r="N138" i="1" s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M154" i="1" s="1"/>
  <c r="N154" i="1" s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M185" i="1" s="1"/>
  <c r="N185" i="1" s="1"/>
  <c r="L186" i="1"/>
  <c r="L187" i="1"/>
  <c r="L188" i="1"/>
  <c r="L189" i="1"/>
  <c r="L190" i="1"/>
  <c r="L191" i="1"/>
  <c r="L192" i="1"/>
  <c r="L193" i="1"/>
  <c r="L194" i="1"/>
  <c r="M194" i="1" s="1"/>
  <c r="N194" i="1" s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2" i="1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M274" i="1" l="1"/>
  <c r="N274" i="1" s="1"/>
  <c r="M234" i="1"/>
  <c r="N234" i="1" s="1"/>
  <c r="M90" i="1"/>
  <c r="N90" i="1" s="1"/>
  <c r="M42" i="1"/>
  <c r="N42" i="1" s="1"/>
  <c r="M289" i="1"/>
  <c r="N289" i="1" s="1"/>
  <c r="M57" i="1"/>
  <c r="N57" i="1" s="1"/>
  <c r="M2" i="1"/>
  <c r="N2" i="1" s="1"/>
  <c r="N304" i="1" s="1"/>
  <c r="M296" i="1"/>
  <c r="N296" i="1" s="1"/>
  <c r="M288" i="1"/>
  <c r="N288" i="1" s="1"/>
  <c r="M280" i="1"/>
  <c r="N280" i="1" s="1"/>
  <c r="M272" i="1"/>
  <c r="N272" i="1" s="1"/>
  <c r="M264" i="1"/>
  <c r="N264" i="1" s="1"/>
  <c r="M256" i="1"/>
  <c r="N256" i="1" s="1"/>
  <c r="M248" i="1"/>
  <c r="N248" i="1" s="1"/>
  <c r="M240" i="1"/>
  <c r="N240" i="1" s="1"/>
  <c r="M232" i="1"/>
  <c r="N232" i="1" s="1"/>
  <c r="M224" i="1"/>
  <c r="N224" i="1" s="1"/>
  <c r="M216" i="1"/>
  <c r="N216" i="1" s="1"/>
  <c r="M208" i="1"/>
  <c r="N208" i="1" s="1"/>
  <c r="M200" i="1"/>
  <c r="N200" i="1" s="1"/>
  <c r="M192" i="1"/>
  <c r="N192" i="1" s="1"/>
  <c r="M184" i="1"/>
  <c r="N184" i="1" s="1"/>
  <c r="M176" i="1"/>
  <c r="N176" i="1" s="1"/>
  <c r="M168" i="1"/>
  <c r="N168" i="1" s="1"/>
  <c r="M160" i="1"/>
  <c r="N160" i="1" s="1"/>
  <c r="M152" i="1"/>
  <c r="N152" i="1" s="1"/>
  <c r="M144" i="1"/>
  <c r="N144" i="1" s="1"/>
  <c r="M136" i="1"/>
  <c r="N136" i="1" s="1"/>
  <c r="M128" i="1"/>
  <c r="N128" i="1" s="1"/>
  <c r="M120" i="1"/>
  <c r="N120" i="1" s="1"/>
  <c r="M112" i="1"/>
  <c r="N112" i="1" s="1"/>
  <c r="M104" i="1"/>
  <c r="N104" i="1" s="1"/>
  <c r="M96" i="1"/>
  <c r="N96" i="1" s="1"/>
  <c r="M88" i="1"/>
  <c r="N88" i="1" s="1"/>
  <c r="M80" i="1"/>
  <c r="N80" i="1" s="1"/>
  <c r="M72" i="1"/>
  <c r="N72" i="1" s="1"/>
  <c r="M64" i="1"/>
  <c r="N64" i="1" s="1"/>
  <c r="M56" i="1"/>
  <c r="N56" i="1" s="1"/>
  <c r="M48" i="1"/>
  <c r="N48" i="1" s="1"/>
  <c r="M40" i="1"/>
  <c r="N40" i="1" s="1"/>
  <c r="M32" i="1"/>
  <c r="N32" i="1" s="1"/>
  <c r="M24" i="1"/>
  <c r="N24" i="1" s="1"/>
  <c r="M16" i="1"/>
  <c r="N16" i="1" s="1"/>
  <c r="M8" i="1"/>
  <c r="N8" i="1" s="1"/>
  <c r="M282" i="1"/>
  <c r="N282" i="1" s="1"/>
  <c r="M242" i="1"/>
  <c r="N242" i="1" s="1"/>
  <c r="M202" i="1"/>
  <c r="N202" i="1" s="1"/>
  <c r="M98" i="1"/>
  <c r="N98" i="1" s="1"/>
  <c r="F5" i="3" s="1"/>
  <c r="M58" i="1"/>
  <c r="N58" i="1" s="1"/>
  <c r="M34" i="1"/>
  <c r="N34" i="1" s="1"/>
  <c r="M297" i="1"/>
  <c r="N297" i="1" s="1"/>
  <c r="M257" i="1"/>
  <c r="N257" i="1" s="1"/>
  <c r="M217" i="1"/>
  <c r="N217" i="1" s="1"/>
  <c r="M177" i="1"/>
  <c r="N177" i="1" s="1"/>
  <c r="M145" i="1"/>
  <c r="N145" i="1" s="1"/>
  <c r="M97" i="1"/>
  <c r="N97" i="1" s="1"/>
  <c r="M65" i="1"/>
  <c r="N65" i="1" s="1"/>
  <c r="M49" i="1"/>
  <c r="N49" i="1" s="1"/>
  <c r="M9" i="1"/>
  <c r="N9" i="1" s="1"/>
  <c r="M303" i="1"/>
  <c r="N303" i="1" s="1"/>
  <c r="M295" i="1"/>
  <c r="N295" i="1" s="1"/>
  <c r="M287" i="1"/>
  <c r="N287" i="1" s="1"/>
  <c r="M279" i="1"/>
  <c r="N279" i="1" s="1"/>
  <c r="M271" i="1"/>
  <c r="N271" i="1" s="1"/>
  <c r="M263" i="1"/>
  <c r="N263" i="1" s="1"/>
  <c r="M255" i="1"/>
  <c r="N255" i="1" s="1"/>
  <c r="M247" i="1"/>
  <c r="N247" i="1" s="1"/>
  <c r="M239" i="1"/>
  <c r="N239" i="1" s="1"/>
  <c r="M231" i="1"/>
  <c r="N231" i="1" s="1"/>
  <c r="M223" i="1"/>
  <c r="N223" i="1" s="1"/>
  <c r="M215" i="1"/>
  <c r="N215" i="1" s="1"/>
  <c r="M207" i="1"/>
  <c r="N207" i="1" s="1"/>
  <c r="M199" i="1"/>
  <c r="N199" i="1" s="1"/>
  <c r="M191" i="1"/>
  <c r="N191" i="1" s="1"/>
  <c r="M183" i="1"/>
  <c r="N183" i="1" s="1"/>
  <c r="M175" i="1"/>
  <c r="N175" i="1" s="1"/>
  <c r="M167" i="1"/>
  <c r="N167" i="1" s="1"/>
  <c r="M159" i="1"/>
  <c r="N159" i="1" s="1"/>
  <c r="M151" i="1"/>
  <c r="N151" i="1" s="1"/>
  <c r="M143" i="1"/>
  <c r="N143" i="1" s="1"/>
  <c r="M135" i="1"/>
  <c r="N135" i="1" s="1"/>
  <c r="M127" i="1"/>
  <c r="N127" i="1" s="1"/>
  <c r="M119" i="1"/>
  <c r="N119" i="1" s="1"/>
  <c r="M111" i="1"/>
  <c r="N111" i="1" s="1"/>
  <c r="M103" i="1"/>
  <c r="N103" i="1" s="1"/>
  <c r="M95" i="1"/>
  <c r="N95" i="1" s="1"/>
  <c r="M87" i="1"/>
  <c r="N87" i="1" s="1"/>
  <c r="M79" i="1"/>
  <c r="N79" i="1" s="1"/>
  <c r="M71" i="1"/>
  <c r="N71" i="1" s="1"/>
  <c r="M63" i="1"/>
  <c r="N63" i="1" s="1"/>
  <c r="G4" i="3" s="1"/>
  <c r="M55" i="1"/>
  <c r="N55" i="1" s="1"/>
  <c r="M47" i="1"/>
  <c r="N47" i="1" s="1"/>
  <c r="M39" i="1"/>
  <c r="N39" i="1" s="1"/>
  <c r="M31" i="1"/>
  <c r="N31" i="1" s="1"/>
  <c r="H4" i="3" s="1"/>
  <c r="M23" i="1"/>
  <c r="N23" i="1" s="1"/>
  <c r="M15" i="1"/>
  <c r="N15" i="1" s="1"/>
  <c r="M7" i="1"/>
  <c r="N7" i="1" s="1"/>
  <c r="M273" i="1"/>
  <c r="N273" i="1" s="1"/>
  <c r="M233" i="1"/>
  <c r="N233" i="1" s="1"/>
  <c r="M81" i="1"/>
  <c r="N81" i="1" s="1"/>
  <c r="M17" i="1"/>
  <c r="N17" i="1" s="1"/>
  <c r="M302" i="1"/>
  <c r="N302" i="1" s="1"/>
  <c r="M294" i="1"/>
  <c r="N294" i="1" s="1"/>
  <c r="M286" i="1"/>
  <c r="N286" i="1" s="1"/>
  <c r="M278" i="1"/>
  <c r="N278" i="1" s="1"/>
  <c r="M270" i="1"/>
  <c r="N270" i="1" s="1"/>
  <c r="M262" i="1"/>
  <c r="N262" i="1" s="1"/>
  <c r="M254" i="1"/>
  <c r="N254" i="1" s="1"/>
  <c r="M246" i="1"/>
  <c r="N246" i="1" s="1"/>
  <c r="M238" i="1"/>
  <c r="N238" i="1" s="1"/>
  <c r="M230" i="1"/>
  <c r="N230" i="1" s="1"/>
  <c r="C3" i="3" s="1"/>
  <c r="M222" i="1"/>
  <c r="N222" i="1" s="1"/>
  <c r="M214" i="1"/>
  <c r="N214" i="1" s="1"/>
  <c r="M206" i="1"/>
  <c r="N206" i="1" s="1"/>
  <c r="M198" i="1"/>
  <c r="N198" i="1" s="1"/>
  <c r="M190" i="1"/>
  <c r="N190" i="1" s="1"/>
  <c r="M182" i="1"/>
  <c r="N182" i="1" s="1"/>
  <c r="M174" i="1"/>
  <c r="N174" i="1" s="1"/>
  <c r="M166" i="1"/>
  <c r="N166" i="1" s="1"/>
  <c r="M158" i="1"/>
  <c r="N158" i="1" s="1"/>
  <c r="M150" i="1"/>
  <c r="N150" i="1" s="1"/>
  <c r="M142" i="1"/>
  <c r="N142" i="1" s="1"/>
  <c r="M134" i="1"/>
  <c r="N134" i="1" s="1"/>
  <c r="M126" i="1"/>
  <c r="N126" i="1" s="1"/>
  <c r="M118" i="1"/>
  <c r="N118" i="1" s="1"/>
  <c r="M110" i="1"/>
  <c r="N110" i="1" s="1"/>
  <c r="M102" i="1"/>
  <c r="N102" i="1" s="1"/>
  <c r="E5" i="3" s="1"/>
  <c r="M94" i="1"/>
  <c r="N94" i="1" s="1"/>
  <c r="M86" i="1"/>
  <c r="N86" i="1" s="1"/>
  <c r="M78" i="1"/>
  <c r="N78" i="1" s="1"/>
  <c r="M70" i="1"/>
  <c r="N70" i="1" s="1"/>
  <c r="M62" i="1"/>
  <c r="N62" i="1" s="1"/>
  <c r="M54" i="1"/>
  <c r="N54" i="1" s="1"/>
  <c r="M46" i="1"/>
  <c r="N46" i="1" s="1"/>
  <c r="M38" i="1"/>
  <c r="N38" i="1" s="1"/>
  <c r="M30" i="1"/>
  <c r="N30" i="1" s="1"/>
  <c r="M22" i="1"/>
  <c r="N22" i="1" s="1"/>
  <c r="M14" i="1"/>
  <c r="N14" i="1" s="1"/>
  <c r="M290" i="1"/>
  <c r="N290" i="1" s="1"/>
  <c r="M250" i="1"/>
  <c r="N250" i="1" s="1"/>
  <c r="M210" i="1"/>
  <c r="N210" i="1" s="1"/>
  <c r="M170" i="1"/>
  <c r="N170" i="1" s="1"/>
  <c r="M82" i="1"/>
  <c r="N82" i="1" s="1"/>
  <c r="F3" i="3" s="1"/>
  <c r="F7" i="3" s="1"/>
  <c r="M18" i="1"/>
  <c r="N18" i="1" s="1"/>
  <c r="M265" i="1"/>
  <c r="N265" i="1" s="1"/>
  <c r="M225" i="1"/>
  <c r="N225" i="1" s="1"/>
  <c r="M193" i="1"/>
  <c r="N193" i="1" s="1"/>
  <c r="M161" i="1"/>
  <c r="N161" i="1" s="1"/>
  <c r="M129" i="1"/>
  <c r="N129" i="1" s="1"/>
  <c r="M89" i="1"/>
  <c r="N89" i="1" s="1"/>
  <c r="M33" i="1"/>
  <c r="N33" i="1" s="1"/>
  <c r="M301" i="1"/>
  <c r="N301" i="1" s="1"/>
  <c r="M293" i="1"/>
  <c r="N293" i="1" s="1"/>
  <c r="M285" i="1"/>
  <c r="N285" i="1" s="1"/>
  <c r="M277" i="1"/>
  <c r="N277" i="1" s="1"/>
  <c r="M269" i="1"/>
  <c r="N269" i="1" s="1"/>
  <c r="M261" i="1"/>
  <c r="N261" i="1" s="1"/>
  <c r="M253" i="1"/>
  <c r="N253" i="1" s="1"/>
  <c r="M245" i="1"/>
  <c r="N245" i="1" s="1"/>
  <c r="M237" i="1"/>
  <c r="N237" i="1" s="1"/>
  <c r="M229" i="1"/>
  <c r="N229" i="1" s="1"/>
  <c r="M221" i="1"/>
  <c r="N221" i="1" s="1"/>
  <c r="M213" i="1"/>
  <c r="N213" i="1" s="1"/>
  <c r="M205" i="1"/>
  <c r="N205" i="1" s="1"/>
  <c r="M197" i="1"/>
  <c r="N197" i="1" s="1"/>
  <c r="M189" i="1"/>
  <c r="N189" i="1" s="1"/>
  <c r="D3" i="3" s="1"/>
  <c r="D7" i="3" s="1"/>
  <c r="M181" i="1"/>
  <c r="N181" i="1" s="1"/>
  <c r="M173" i="1"/>
  <c r="N173" i="1" s="1"/>
  <c r="M165" i="1"/>
  <c r="N165" i="1" s="1"/>
  <c r="M157" i="1"/>
  <c r="N157" i="1" s="1"/>
  <c r="M149" i="1"/>
  <c r="N149" i="1" s="1"/>
  <c r="M141" i="1"/>
  <c r="N141" i="1" s="1"/>
  <c r="M133" i="1"/>
  <c r="N133" i="1" s="1"/>
  <c r="M125" i="1"/>
  <c r="N125" i="1" s="1"/>
  <c r="M117" i="1"/>
  <c r="N117" i="1" s="1"/>
  <c r="M109" i="1"/>
  <c r="N109" i="1" s="1"/>
  <c r="M101" i="1"/>
  <c r="N101" i="1" s="1"/>
  <c r="M93" i="1"/>
  <c r="N93" i="1" s="1"/>
  <c r="M85" i="1"/>
  <c r="N85" i="1" s="1"/>
  <c r="M77" i="1"/>
  <c r="N77" i="1" s="1"/>
  <c r="M69" i="1"/>
  <c r="N69" i="1" s="1"/>
  <c r="M61" i="1"/>
  <c r="N61" i="1" s="1"/>
  <c r="M53" i="1"/>
  <c r="N53" i="1" s="1"/>
  <c r="M45" i="1"/>
  <c r="N45" i="1" s="1"/>
  <c r="M37" i="1"/>
  <c r="N37" i="1" s="1"/>
  <c r="M29" i="1"/>
  <c r="N29" i="1" s="1"/>
  <c r="M21" i="1"/>
  <c r="N21" i="1" s="1"/>
  <c r="M13" i="1"/>
  <c r="N13" i="1" s="1"/>
  <c r="M5" i="1"/>
  <c r="N5" i="1" s="1"/>
  <c r="M266" i="1"/>
  <c r="N266" i="1" s="1"/>
  <c r="M226" i="1"/>
  <c r="N226" i="1" s="1"/>
  <c r="M178" i="1"/>
  <c r="N178" i="1" s="1"/>
  <c r="M146" i="1"/>
  <c r="N146" i="1" s="1"/>
  <c r="M106" i="1"/>
  <c r="N106" i="1" s="1"/>
  <c r="M74" i="1"/>
  <c r="N74" i="1" s="1"/>
  <c r="M50" i="1"/>
  <c r="N50" i="1" s="1"/>
  <c r="M10" i="1"/>
  <c r="N10" i="1" s="1"/>
  <c r="M281" i="1"/>
  <c r="N281" i="1" s="1"/>
  <c r="M241" i="1"/>
  <c r="N241" i="1" s="1"/>
  <c r="M201" i="1"/>
  <c r="N201" i="1" s="1"/>
  <c r="M153" i="1"/>
  <c r="N153" i="1" s="1"/>
  <c r="M25" i="1"/>
  <c r="N25" i="1" s="1"/>
  <c r="M300" i="1"/>
  <c r="N300" i="1" s="1"/>
  <c r="M292" i="1"/>
  <c r="N292" i="1" s="1"/>
  <c r="M284" i="1"/>
  <c r="N284" i="1" s="1"/>
  <c r="M276" i="1"/>
  <c r="N276" i="1" s="1"/>
  <c r="M268" i="1"/>
  <c r="N268" i="1" s="1"/>
  <c r="B3" i="3" s="1"/>
  <c r="B7" i="3" s="1"/>
  <c r="M260" i="1"/>
  <c r="N260" i="1" s="1"/>
  <c r="M252" i="1"/>
  <c r="N252" i="1" s="1"/>
  <c r="M244" i="1"/>
  <c r="N244" i="1" s="1"/>
  <c r="M236" i="1"/>
  <c r="N236" i="1" s="1"/>
  <c r="M228" i="1"/>
  <c r="N228" i="1" s="1"/>
  <c r="M220" i="1"/>
  <c r="N220" i="1" s="1"/>
  <c r="M212" i="1"/>
  <c r="N212" i="1" s="1"/>
  <c r="M204" i="1"/>
  <c r="N204" i="1" s="1"/>
  <c r="M196" i="1"/>
  <c r="N196" i="1" s="1"/>
  <c r="M188" i="1"/>
  <c r="N188" i="1" s="1"/>
  <c r="M180" i="1"/>
  <c r="N180" i="1" s="1"/>
  <c r="M172" i="1"/>
  <c r="N172" i="1" s="1"/>
  <c r="M164" i="1"/>
  <c r="N164" i="1" s="1"/>
  <c r="M156" i="1"/>
  <c r="N156" i="1" s="1"/>
  <c r="M148" i="1"/>
  <c r="N148" i="1" s="1"/>
  <c r="M140" i="1"/>
  <c r="N140" i="1" s="1"/>
  <c r="M132" i="1"/>
  <c r="N132" i="1" s="1"/>
  <c r="M124" i="1"/>
  <c r="N124" i="1" s="1"/>
  <c r="M116" i="1"/>
  <c r="N116" i="1" s="1"/>
  <c r="M108" i="1"/>
  <c r="N108" i="1" s="1"/>
  <c r="M100" i="1"/>
  <c r="N100" i="1" s="1"/>
  <c r="M92" i="1"/>
  <c r="N92" i="1" s="1"/>
  <c r="M84" i="1"/>
  <c r="N84" i="1" s="1"/>
  <c r="M76" i="1"/>
  <c r="N76" i="1" s="1"/>
  <c r="F4" i="3" s="1"/>
  <c r="M68" i="1"/>
  <c r="N68" i="1" s="1"/>
  <c r="M60" i="1"/>
  <c r="N60" i="1" s="1"/>
  <c r="M52" i="1"/>
  <c r="N52" i="1" s="1"/>
  <c r="M44" i="1"/>
  <c r="N44" i="1" s="1"/>
  <c r="M36" i="1"/>
  <c r="N36" i="1" s="1"/>
  <c r="M28" i="1"/>
  <c r="N28" i="1" s="1"/>
  <c r="M20" i="1"/>
  <c r="N20" i="1" s="1"/>
  <c r="M12" i="1"/>
  <c r="N12" i="1" s="1"/>
  <c r="M4" i="1"/>
  <c r="N4" i="1" s="1"/>
  <c r="M298" i="1"/>
  <c r="N298" i="1" s="1"/>
  <c r="M258" i="1"/>
  <c r="N258" i="1" s="1"/>
  <c r="M218" i="1"/>
  <c r="N218" i="1" s="1"/>
  <c r="M162" i="1"/>
  <c r="N162" i="1" s="1"/>
  <c r="M122" i="1"/>
  <c r="N122" i="1" s="1"/>
  <c r="M66" i="1"/>
  <c r="N66" i="1" s="1"/>
  <c r="M26" i="1"/>
  <c r="N26" i="1" s="1"/>
  <c r="M249" i="1"/>
  <c r="N249" i="1" s="1"/>
  <c r="M209" i="1"/>
  <c r="N209" i="1" s="1"/>
  <c r="M169" i="1"/>
  <c r="N169" i="1" s="1"/>
  <c r="M137" i="1"/>
  <c r="N137" i="1" s="1"/>
  <c r="M105" i="1"/>
  <c r="N105" i="1" s="1"/>
  <c r="M41" i="1"/>
  <c r="N41" i="1" s="1"/>
  <c r="M299" i="1"/>
  <c r="N299" i="1" s="1"/>
  <c r="M291" i="1"/>
  <c r="N291" i="1" s="1"/>
  <c r="M283" i="1"/>
  <c r="N283" i="1" s="1"/>
  <c r="M275" i="1"/>
  <c r="N275" i="1" s="1"/>
  <c r="M267" i="1"/>
  <c r="N267" i="1" s="1"/>
  <c r="M259" i="1"/>
  <c r="N259" i="1" s="1"/>
  <c r="M251" i="1"/>
  <c r="N251" i="1" s="1"/>
  <c r="M243" i="1"/>
  <c r="N243" i="1" s="1"/>
  <c r="M235" i="1"/>
  <c r="N235" i="1" s="1"/>
  <c r="M227" i="1"/>
  <c r="N227" i="1" s="1"/>
  <c r="M219" i="1"/>
  <c r="N219" i="1" s="1"/>
  <c r="M211" i="1"/>
  <c r="N211" i="1" s="1"/>
  <c r="M203" i="1"/>
  <c r="N203" i="1" s="1"/>
  <c r="M195" i="1"/>
  <c r="N195" i="1" s="1"/>
  <c r="M187" i="1"/>
  <c r="N187" i="1" s="1"/>
  <c r="M179" i="1"/>
  <c r="N179" i="1" s="1"/>
  <c r="M171" i="1"/>
  <c r="N171" i="1" s="1"/>
  <c r="M163" i="1"/>
  <c r="N163" i="1" s="1"/>
  <c r="M155" i="1"/>
  <c r="N155" i="1" s="1"/>
  <c r="M147" i="1"/>
  <c r="N147" i="1" s="1"/>
  <c r="M139" i="1"/>
  <c r="N139" i="1" s="1"/>
  <c r="M131" i="1"/>
  <c r="N131" i="1" s="1"/>
  <c r="M123" i="1"/>
  <c r="N123" i="1" s="1"/>
  <c r="M115" i="1"/>
  <c r="N115" i="1" s="1"/>
  <c r="M107" i="1"/>
  <c r="N107" i="1" s="1"/>
  <c r="E3" i="3" s="1"/>
  <c r="M99" i="1"/>
  <c r="N99" i="1" s="1"/>
  <c r="M91" i="1"/>
  <c r="N91" i="1" s="1"/>
  <c r="M83" i="1"/>
  <c r="N83" i="1" s="1"/>
  <c r="M75" i="1"/>
  <c r="N75" i="1" s="1"/>
  <c r="M67" i="1"/>
  <c r="N67" i="1" s="1"/>
  <c r="M59" i="1"/>
  <c r="N59" i="1" s="1"/>
  <c r="M51" i="1"/>
  <c r="N51" i="1" s="1"/>
  <c r="M43" i="1"/>
  <c r="N43" i="1" s="1"/>
  <c r="G3" i="3" s="1"/>
  <c r="G7" i="3" s="1"/>
  <c r="M35" i="1"/>
  <c r="N35" i="1" s="1"/>
  <c r="M27" i="1"/>
  <c r="N27" i="1" s="1"/>
  <c r="M19" i="1"/>
  <c r="N19" i="1" s="1"/>
  <c r="M11" i="1"/>
  <c r="N11" i="1" s="1"/>
  <c r="M3" i="1"/>
  <c r="N3" i="1" s="1"/>
  <c r="C4" i="3" l="1"/>
  <c r="I4" i="3" s="1"/>
  <c r="H3" i="3"/>
  <c r="H7" i="3" s="1"/>
  <c r="E4" i="3"/>
  <c r="E7" i="3" s="1"/>
  <c r="I3" i="3" l="1"/>
  <c r="I6" i="3" s="1"/>
  <c r="C7" i="3"/>
  <c r="I7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<sst xmlns="http://schemas.openxmlformats.org/spreadsheetml/2006/main" count="2195" uniqueCount="1128">
  <si>
    <t>Partner Name</t>
  </si>
  <si>
    <t>Name</t>
  </si>
  <si>
    <t>Issuer</t>
  </si>
  <si>
    <t>Application Number</t>
  </si>
  <si>
    <t>FD Account Number</t>
  </si>
  <si>
    <t>Mobile Number</t>
  </si>
  <si>
    <t>FD Amount</t>
  </si>
  <si>
    <t>Booking Date</t>
  </si>
  <si>
    <t>ROI</t>
  </si>
  <si>
    <t>Investment Period(Months)</t>
  </si>
  <si>
    <t>Mobikwik</t>
  </si>
  <si>
    <t>S******* G****</t>
  </si>
  <si>
    <t>Shriram Finance</t>
  </si>
  <si>
    <t>S2507310450</t>
  </si>
  <si>
    <t>61640816</t>
  </si>
  <si>
    <t>******4142</t>
  </si>
  <si>
    <t>31/07/2025</t>
  </si>
  <si>
    <t>A**** A*** J***</t>
  </si>
  <si>
    <t>S2507310280</t>
  </si>
  <si>
    <t>61633945</t>
  </si>
  <si>
    <t>******8034</t>
  </si>
  <si>
    <t>D******* K</t>
  </si>
  <si>
    <t>S2507310030</t>
  </si>
  <si>
    <t>61635022</t>
  </si>
  <si>
    <t>******8667</t>
  </si>
  <si>
    <t>30/07/2025</t>
  </si>
  <si>
    <t>C*********** P**********</t>
  </si>
  <si>
    <t>S2507300224</t>
  </si>
  <si>
    <t>61625966</t>
  </si>
  <si>
    <t>******4725</t>
  </si>
  <si>
    <t>S***** K**** B*****</t>
  </si>
  <si>
    <t>Bajaj Finance Ltd</t>
  </si>
  <si>
    <t>124987893</t>
  </si>
  <si>
    <t>1962454</t>
  </si>
  <si>
    <t>******4174</t>
  </si>
  <si>
    <t>S**** D***</t>
  </si>
  <si>
    <t>S2507300051</t>
  </si>
  <si>
    <t>61623798</t>
  </si>
  <si>
    <t>******4807</t>
  </si>
  <si>
    <t>S***** U**** P****</t>
  </si>
  <si>
    <t>S2507290039</t>
  </si>
  <si>
    <t>61620886</t>
  </si>
  <si>
    <t>******6148</t>
  </si>
  <si>
    <t>29/07/2025</t>
  </si>
  <si>
    <t>G**** Y****</t>
  </si>
  <si>
    <t>S2507280058</t>
  </si>
  <si>
    <t>61621339</t>
  </si>
  <si>
    <t>******7179</t>
  </si>
  <si>
    <t>28/07/2025</t>
  </si>
  <si>
    <t>S2507270256</t>
  </si>
  <si>
    <t>61620328</t>
  </si>
  <si>
    <t>27/07/2025</t>
  </si>
  <si>
    <t>A*** K****</t>
  </si>
  <si>
    <t>C***** A*** K****</t>
  </si>
  <si>
    <t>S2507260006</t>
  </si>
  <si>
    <t>61616571</t>
  </si>
  <si>
    <t>******4593</t>
  </si>
  <si>
    <t>25/07/2025</t>
  </si>
  <si>
    <t>I**** D*** P******</t>
  </si>
  <si>
    <t>S2507250043</t>
  </si>
  <si>
    <t>61623470</t>
  </si>
  <si>
    <t>******4516</t>
  </si>
  <si>
    <t>B***** Y****</t>
  </si>
  <si>
    <t>S2507230105</t>
  </si>
  <si>
    <t>61611182</t>
  </si>
  <si>
    <t>******3629</t>
  </si>
  <si>
    <t>23/07/2025</t>
  </si>
  <si>
    <t>V********** C********** C******</t>
  </si>
  <si>
    <t>S2507230097</t>
  </si>
  <si>
    <t>61611344</t>
  </si>
  <si>
    <t>******9482</t>
  </si>
  <si>
    <t>L***** K****</t>
  </si>
  <si>
    <t>S2507210306</t>
  </si>
  <si>
    <t>61608080</t>
  </si>
  <si>
    <t>******5713</t>
  </si>
  <si>
    <t>21/07/2025</t>
  </si>
  <si>
    <t>A***** P***** S****</t>
  </si>
  <si>
    <t>S2507200218</t>
  </si>
  <si>
    <t>61609821</t>
  </si>
  <si>
    <t>******6237</t>
  </si>
  <si>
    <t>20/07/2025</t>
  </si>
  <si>
    <t>S2507190264</t>
  </si>
  <si>
    <t>61605515</t>
  </si>
  <si>
    <t>19/07/2025</t>
  </si>
  <si>
    <t>S**** N******* P********</t>
  </si>
  <si>
    <t>S2507190252</t>
  </si>
  <si>
    <t>61609811</t>
  </si>
  <si>
    <t>******3146</t>
  </si>
  <si>
    <t>A****** A******</t>
  </si>
  <si>
    <t>S2507180346</t>
  </si>
  <si>
    <t>61609647</t>
  </si>
  <si>
    <t>******7857</t>
  </si>
  <si>
    <t>18/07/2025</t>
  </si>
  <si>
    <t>K*** U** G***** B***</t>
  </si>
  <si>
    <t>S2507180328</t>
  </si>
  <si>
    <t>61609631</t>
  </si>
  <si>
    <t>******7025</t>
  </si>
  <si>
    <t>K**** D******** B******</t>
  </si>
  <si>
    <t>S2507160153</t>
  </si>
  <si>
    <t>61599183</t>
  </si>
  <si>
    <t>******5607</t>
  </si>
  <si>
    <t>16/07/2025</t>
  </si>
  <si>
    <t>R******* P**** S*****</t>
  </si>
  <si>
    <t>S2507150358</t>
  </si>
  <si>
    <t>61597946</t>
  </si>
  <si>
    <t>******5649</t>
  </si>
  <si>
    <t>15/07/2025</t>
  </si>
  <si>
    <t>V**** S******** L*******</t>
  </si>
  <si>
    <t>S2507150215</t>
  </si>
  <si>
    <t>61612130</t>
  </si>
  <si>
    <t>******0391</t>
  </si>
  <si>
    <t>S******</t>
  </si>
  <si>
    <t>S2507130109</t>
  </si>
  <si>
    <t>61594430</t>
  </si>
  <si>
    <t>******0556</t>
  </si>
  <si>
    <t>13/07/2025</t>
  </si>
  <si>
    <t>P******* M****</t>
  </si>
  <si>
    <t>S2507130018</t>
  </si>
  <si>
    <t>61595815</t>
  </si>
  <si>
    <t>******8214</t>
  </si>
  <si>
    <t>12/07/2025</t>
  </si>
  <si>
    <t>D******** D***</t>
  </si>
  <si>
    <t>S2507120020</t>
  </si>
  <si>
    <t>61591787</t>
  </si>
  <si>
    <t>******3290</t>
  </si>
  <si>
    <t>11/07/2025</t>
  </si>
  <si>
    <t>J******* Y****</t>
  </si>
  <si>
    <t>S2507100386</t>
  </si>
  <si>
    <t>61592011</t>
  </si>
  <si>
    <t>******1603</t>
  </si>
  <si>
    <t>10/07/2025</t>
  </si>
  <si>
    <t>R**** R**</t>
  </si>
  <si>
    <t>S2507100060</t>
  </si>
  <si>
    <t>61588682</t>
  </si>
  <si>
    <t>******1893</t>
  </si>
  <si>
    <t>S****** D***</t>
  </si>
  <si>
    <t>S2507070717</t>
  </si>
  <si>
    <t>61587693</t>
  </si>
  <si>
    <t>******8465</t>
  </si>
  <si>
    <t>07/07/2025</t>
  </si>
  <si>
    <t>J**** P*****</t>
  </si>
  <si>
    <t>S2507070685</t>
  </si>
  <si>
    <t>61584846</t>
  </si>
  <si>
    <t>******2369</t>
  </si>
  <si>
    <t>124987890</t>
  </si>
  <si>
    <t>1959266</t>
  </si>
  <si>
    <t>D****** P*****</t>
  </si>
  <si>
    <t>S2507050130</t>
  </si>
  <si>
    <t>61582472</t>
  </si>
  <si>
    <t>******4889</t>
  </si>
  <si>
    <t>05/07/2025</t>
  </si>
  <si>
    <t>K****** K**** S*****</t>
  </si>
  <si>
    <t>S2507050059</t>
  </si>
  <si>
    <t>61579665</t>
  </si>
  <si>
    <t>******3144</t>
  </si>
  <si>
    <t>A***** R**</t>
  </si>
  <si>
    <t>S2507040127</t>
  </si>
  <si>
    <t>61582350</t>
  </si>
  <si>
    <t>******5724</t>
  </si>
  <si>
    <t>04/07/2025</t>
  </si>
  <si>
    <t>S2507040036</t>
  </si>
  <si>
    <t>61580331</t>
  </si>
  <si>
    <t>03/07/2025</t>
  </si>
  <si>
    <t>A******** J******</t>
  </si>
  <si>
    <t>S2507030610</t>
  </si>
  <si>
    <t>61577820</t>
  </si>
  <si>
    <t>******9237</t>
  </si>
  <si>
    <t>S2507030104</t>
  </si>
  <si>
    <t>61575845</t>
  </si>
  <si>
    <t>R*** R************* R***** D***</t>
  </si>
  <si>
    <t>S2507020060</t>
  </si>
  <si>
    <t>61573822</t>
  </si>
  <si>
    <t>******5482</t>
  </si>
  <si>
    <t>02/07/2025</t>
  </si>
  <si>
    <t>S2507010397</t>
  </si>
  <si>
    <t>61572777</t>
  </si>
  <si>
    <t>01/07/2025</t>
  </si>
  <si>
    <t>A***** S****</t>
  </si>
  <si>
    <t>S2507010089</t>
  </si>
  <si>
    <t>61572596</t>
  </si>
  <si>
    <t>******9500</t>
  </si>
  <si>
    <t>N***** K****</t>
  </si>
  <si>
    <t>S2506300808</t>
  </si>
  <si>
    <t>61572263</t>
  </si>
  <si>
    <t>******9865</t>
  </si>
  <si>
    <t>30/06/2025</t>
  </si>
  <si>
    <t>B***** M****</t>
  </si>
  <si>
    <t>S2506300767</t>
  </si>
  <si>
    <t>61572234</t>
  </si>
  <si>
    <t>******5190</t>
  </si>
  <si>
    <t>S2506280108</t>
  </si>
  <si>
    <t>61564329</t>
  </si>
  <si>
    <t>28/06/2025</t>
  </si>
  <si>
    <t>A*** K**** P*****</t>
  </si>
  <si>
    <t>S2506260668</t>
  </si>
  <si>
    <t>61561107</t>
  </si>
  <si>
    <t>******7050</t>
  </si>
  <si>
    <t>26/06/2025</t>
  </si>
  <si>
    <t>D******* M******</t>
  </si>
  <si>
    <t>S2506230348</t>
  </si>
  <si>
    <t>61551187</t>
  </si>
  <si>
    <t>******4813</t>
  </si>
  <si>
    <t>23/06/2025</t>
  </si>
  <si>
    <t>S2506200591</t>
  </si>
  <si>
    <t>61543399</t>
  </si>
  <si>
    <t>20/06/2025</t>
  </si>
  <si>
    <t>M******</t>
  </si>
  <si>
    <t>S2506180426</t>
  </si>
  <si>
    <t>61541815</t>
  </si>
  <si>
    <t>******9137</t>
  </si>
  <si>
    <t>18/06/2025</t>
  </si>
  <si>
    <t>N***** B*****</t>
  </si>
  <si>
    <t>S2506180375</t>
  </si>
  <si>
    <t>61538748</t>
  </si>
  <si>
    <t>******3754</t>
  </si>
  <si>
    <t>H*** R** B********</t>
  </si>
  <si>
    <t>S2506180177</t>
  </si>
  <si>
    <t>61536471</t>
  </si>
  <si>
    <t>******4808</t>
  </si>
  <si>
    <t>S2506170497</t>
  </si>
  <si>
    <t>61535706</t>
  </si>
  <si>
    <t>17/06/2025</t>
  </si>
  <si>
    <t>M***** A*******</t>
  </si>
  <si>
    <t>S2506170458</t>
  </si>
  <si>
    <t>61535697</t>
  </si>
  <si>
    <t>******8773</t>
  </si>
  <si>
    <t>S2506170396</t>
  </si>
  <si>
    <t>61535486</t>
  </si>
  <si>
    <t>R** N****** M****</t>
  </si>
  <si>
    <t>S2506160082</t>
  </si>
  <si>
    <t>61533683</t>
  </si>
  <si>
    <t>******9964</t>
  </si>
  <si>
    <t>16/06/2025</t>
  </si>
  <si>
    <t>R***** R</t>
  </si>
  <si>
    <t>S2506130232</t>
  </si>
  <si>
    <t>61527659</t>
  </si>
  <si>
    <t>******6853</t>
  </si>
  <si>
    <t>13/06/2025</t>
  </si>
  <si>
    <t>A********************</t>
  </si>
  <si>
    <t>S2506100341</t>
  </si>
  <si>
    <t>61520815</t>
  </si>
  <si>
    <t>******9337</t>
  </si>
  <si>
    <t>10/06/2025</t>
  </si>
  <si>
    <t>R**** Y****</t>
  </si>
  <si>
    <t>S2506080184</t>
  </si>
  <si>
    <t>61515277</t>
  </si>
  <si>
    <t>******0596</t>
  </si>
  <si>
    <t>08/06/2025</t>
  </si>
  <si>
    <t>R**** G****</t>
  </si>
  <si>
    <t>S2506080077</t>
  </si>
  <si>
    <t>61515255</t>
  </si>
  <si>
    <t>******5854</t>
  </si>
  <si>
    <t>S2506080072</t>
  </si>
  <si>
    <t>61515253</t>
  </si>
  <si>
    <t>S2506070423</t>
  </si>
  <si>
    <t>61515156</t>
  </si>
  <si>
    <t>07/06/2025</t>
  </si>
  <si>
    <t>S2506070343</t>
  </si>
  <si>
    <t>61515133</t>
  </si>
  <si>
    <t>S2506070338</t>
  </si>
  <si>
    <t>61515126</t>
  </si>
  <si>
    <t>S***** R***** P****</t>
  </si>
  <si>
    <t>S2506070178</t>
  </si>
  <si>
    <t>61514948</t>
  </si>
  <si>
    <t>******5222</t>
  </si>
  <si>
    <t>M********* G******* V*********</t>
  </si>
  <si>
    <t>124987870</t>
  </si>
  <si>
    <t>1952423</t>
  </si>
  <si>
    <t>******8767</t>
  </si>
  <si>
    <t>06/06/2025</t>
  </si>
  <si>
    <t>D******** K****</t>
  </si>
  <si>
    <t>S2506060467</t>
  </si>
  <si>
    <t>61512591</t>
  </si>
  <si>
    <t>******5812</t>
  </si>
  <si>
    <t>S2506040331</t>
  </si>
  <si>
    <t>61509447</t>
  </si>
  <si>
    <t>04/06/2025</t>
  </si>
  <si>
    <t>G****** P******</t>
  </si>
  <si>
    <t>S2506040223</t>
  </si>
  <si>
    <t>61509239</t>
  </si>
  <si>
    <t>******4526</t>
  </si>
  <si>
    <t>S********* G****</t>
  </si>
  <si>
    <t>S2506040039</t>
  </si>
  <si>
    <t>61506361</t>
  </si>
  <si>
    <t>******4624</t>
  </si>
  <si>
    <t>S2506020047</t>
  </si>
  <si>
    <t>61502453</t>
  </si>
  <si>
    <t>02/06/2025</t>
  </si>
  <si>
    <t>A*** K**** S****</t>
  </si>
  <si>
    <t>S2506010364</t>
  </si>
  <si>
    <t>61505298</t>
  </si>
  <si>
    <t>******5255</t>
  </si>
  <si>
    <t>01/06/2025</t>
  </si>
  <si>
    <t>S*** K********</t>
  </si>
  <si>
    <t>S2506010156</t>
  </si>
  <si>
    <t>61503999</t>
  </si>
  <si>
    <t>******5436</t>
  </si>
  <si>
    <t>V***** P*****</t>
  </si>
  <si>
    <t>S2506010128</t>
  </si>
  <si>
    <t>61503858</t>
  </si>
  <si>
    <t>******6131</t>
  </si>
  <si>
    <t>S2506010068</t>
  </si>
  <si>
    <t>61502399</t>
  </si>
  <si>
    <t>G A****</t>
  </si>
  <si>
    <t>124987858</t>
  </si>
  <si>
    <t>1948093</t>
  </si>
  <si>
    <t>******3427</t>
  </si>
  <si>
    <t>30/05/2025</t>
  </si>
  <si>
    <t>S*********** R******* M*****</t>
  </si>
  <si>
    <t>S2505290311</t>
  </si>
  <si>
    <t>61497129</t>
  </si>
  <si>
    <t>******4196</t>
  </si>
  <si>
    <t>29/05/2025</t>
  </si>
  <si>
    <t>S2505270428</t>
  </si>
  <si>
    <t>61493109</t>
  </si>
  <si>
    <t>27/05/2025</t>
  </si>
  <si>
    <t>124987855</t>
  </si>
  <si>
    <t>1947499</t>
  </si>
  <si>
    <t>N**** J******</t>
  </si>
  <si>
    <t>S2505250022</t>
  </si>
  <si>
    <t>61489170</t>
  </si>
  <si>
    <t>******2977</t>
  </si>
  <si>
    <t>24/05/2025</t>
  </si>
  <si>
    <t>R***** K**** S***</t>
  </si>
  <si>
    <t>S2505250015</t>
  </si>
  <si>
    <t>61489168</t>
  </si>
  <si>
    <t>******7184</t>
  </si>
  <si>
    <t>B**** P**** S****</t>
  </si>
  <si>
    <t>124987848</t>
  </si>
  <si>
    <t>1946116</t>
  </si>
  <si>
    <t>******3548</t>
  </si>
  <si>
    <t>22/05/2025</t>
  </si>
  <si>
    <t>S2505220107</t>
  </si>
  <si>
    <t>61482966</t>
  </si>
  <si>
    <t>S2505200223</t>
  </si>
  <si>
    <t>61479564</t>
  </si>
  <si>
    <t>******6214</t>
  </si>
  <si>
    <t>20/05/2025</t>
  </si>
  <si>
    <t>S****** C******</t>
  </si>
  <si>
    <t>S2505200188</t>
  </si>
  <si>
    <t>61479518</t>
  </si>
  <si>
    <t>******5256</t>
  </si>
  <si>
    <t>S2505190332</t>
  </si>
  <si>
    <t>61477911</t>
  </si>
  <si>
    <t>19/05/2025</t>
  </si>
  <si>
    <t>A*******</t>
  </si>
  <si>
    <t>S2505180237</t>
  </si>
  <si>
    <t>61474592</t>
  </si>
  <si>
    <t>******0321</t>
  </si>
  <si>
    <t>18/05/2025</t>
  </si>
  <si>
    <t>M*** A****</t>
  </si>
  <si>
    <t>S2505150313</t>
  </si>
  <si>
    <t>61471896</t>
  </si>
  <si>
    <t>******5522</t>
  </si>
  <si>
    <t>15/05/2025</t>
  </si>
  <si>
    <t>124987838</t>
  </si>
  <si>
    <t>1942356</t>
  </si>
  <si>
    <t>124987833</t>
  </si>
  <si>
    <t>1937535</t>
  </si>
  <si>
    <t>13/05/2025</t>
  </si>
  <si>
    <t>R******* M J</t>
  </si>
  <si>
    <t>124987832</t>
  </si>
  <si>
    <t>1936920</t>
  </si>
  <si>
    <t>******8910</t>
  </si>
  <si>
    <t>S2505120191</t>
  </si>
  <si>
    <t>61463075</t>
  </si>
  <si>
    <t>12/05/2025</t>
  </si>
  <si>
    <t>S2505100018</t>
  </si>
  <si>
    <t>61462623</t>
  </si>
  <si>
    <t>09/05/2025</t>
  </si>
  <si>
    <t>J****** R***</t>
  </si>
  <si>
    <t>124987813</t>
  </si>
  <si>
    <t>1934145</t>
  </si>
  <si>
    <t>******7610</t>
  </si>
  <si>
    <t>D********* K*****</t>
  </si>
  <si>
    <t>S2505080398</t>
  </si>
  <si>
    <t>61459519</t>
  </si>
  <si>
    <t>******4739</t>
  </si>
  <si>
    <t>08/05/2025</t>
  </si>
  <si>
    <t>S2505080094</t>
  </si>
  <si>
    <t>61459795</t>
  </si>
  <si>
    <t>S2505080090</t>
  </si>
  <si>
    <t>61459789</t>
  </si>
  <si>
    <t>R*** J***</t>
  </si>
  <si>
    <t>S2505060584</t>
  </si>
  <si>
    <t>61458704</t>
  </si>
  <si>
    <t>******6027</t>
  </si>
  <si>
    <t>06/05/2025</t>
  </si>
  <si>
    <t>124987804</t>
  </si>
  <si>
    <t>1931702</t>
  </si>
  <si>
    <t>S2505050364</t>
  </si>
  <si>
    <t>61451305</t>
  </si>
  <si>
    <t>05/05/2025</t>
  </si>
  <si>
    <t>Mahindra Finance</t>
  </si>
  <si>
    <t>FAABFP25B52152C</t>
  </si>
  <si>
    <t>C25022162</t>
  </si>
  <si>
    <t>M***** G*****</t>
  </si>
  <si>
    <t>124987786</t>
  </si>
  <si>
    <t>1927791</t>
  </si>
  <si>
    <t>******6469</t>
  </si>
  <si>
    <t>02/05/2025</t>
  </si>
  <si>
    <t>S2505011007</t>
  </si>
  <si>
    <t>61453820</t>
  </si>
  <si>
    <t>01/05/2025</t>
  </si>
  <si>
    <t>A******* M******</t>
  </si>
  <si>
    <t>124987773</t>
  </si>
  <si>
    <t>1932289</t>
  </si>
  <si>
    <t>******1634</t>
  </si>
  <si>
    <t>30/04/2025</t>
  </si>
  <si>
    <t>Y*** V******</t>
  </si>
  <si>
    <t>FAABFP25A230FE1</t>
  </si>
  <si>
    <t>C25021347</t>
  </si>
  <si>
    <t>******6090</t>
  </si>
  <si>
    <t>G****** B*****</t>
  </si>
  <si>
    <t>S2504300643</t>
  </si>
  <si>
    <t>61457262</t>
  </si>
  <si>
    <t>******2373</t>
  </si>
  <si>
    <t>M***** K*****</t>
  </si>
  <si>
    <t>S2504300205</t>
  </si>
  <si>
    <t>61446749</t>
  </si>
  <si>
    <t>******1475</t>
  </si>
  <si>
    <t>G********** B*******</t>
  </si>
  <si>
    <t>S2504290650</t>
  </si>
  <si>
    <t>61463070</t>
  </si>
  <si>
    <t>******9035</t>
  </si>
  <si>
    <t>29/04/2025</t>
  </si>
  <si>
    <t>S**** K***</t>
  </si>
  <si>
    <t>S2504290533</t>
  </si>
  <si>
    <t>61433623</t>
  </si>
  <si>
    <t>******9763</t>
  </si>
  <si>
    <t>S2504280710</t>
  </si>
  <si>
    <t>61430417</t>
  </si>
  <si>
    <t>28/04/2025</t>
  </si>
  <si>
    <t>P***** P****** D****</t>
  </si>
  <si>
    <t>S2504280681</t>
  </si>
  <si>
    <t>61430414</t>
  </si>
  <si>
    <t>******8862</t>
  </si>
  <si>
    <t>G**** R***</t>
  </si>
  <si>
    <t>S2504280620</t>
  </si>
  <si>
    <t>61443899</t>
  </si>
  <si>
    <t>******1138</t>
  </si>
  <si>
    <t>124987767</t>
  </si>
  <si>
    <t>1924637</t>
  </si>
  <si>
    <t>124987766</t>
  </si>
  <si>
    <t>1924626</t>
  </si>
  <si>
    <t>124987765</t>
  </si>
  <si>
    <t>1924634</t>
  </si>
  <si>
    <t>124987764</t>
  </si>
  <si>
    <t>1924642</t>
  </si>
  <si>
    <t>124987763</t>
  </si>
  <si>
    <t>1924346</t>
  </si>
  <si>
    <t>A**** K**** G****</t>
  </si>
  <si>
    <t>S2504270569</t>
  </si>
  <si>
    <t>61427015</t>
  </si>
  <si>
    <t>******9993</t>
  </si>
  <si>
    <t>27/04/2025</t>
  </si>
  <si>
    <t>A****** K****</t>
  </si>
  <si>
    <t>S2504270281</t>
  </si>
  <si>
    <t>61427008</t>
  </si>
  <si>
    <t>******9300</t>
  </si>
  <si>
    <t>124987762</t>
  </si>
  <si>
    <t>1923775</t>
  </si>
  <si>
    <t>124987761</t>
  </si>
  <si>
    <t>1923776</t>
  </si>
  <si>
    <t>124987760</t>
  </si>
  <si>
    <t>1923778</t>
  </si>
  <si>
    <t>124987759</t>
  </si>
  <si>
    <t>1923779</t>
  </si>
  <si>
    <t>124987758</t>
  </si>
  <si>
    <t>1923786</t>
  </si>
  <si>
    <t>S2504270053</t>
  </si>
  <si>
    <t>61424450</t>
  </si>
  <si>
    <t>124987756</t>
  </si>
  <si>
    <t>1923513</t>
  </si>
  <si>
    <t>26/04/2025</t>
  </si>
  <si>
    <t>124987755</t>
  </si>
  <si>
    <t>1923533</t>
  </si>
  <si>
    <t>124987754</t>
  </si>
  <si>
    <t>1923525</t>
  </si>
  <si>
    <t>124987753</t>
  </si>
  <si>
    <t>1923519</t>
  </si>
  <si>
    <t>V**** K****</t>
  </si>
  <si>
    <t>S2504260072</t>
  </si>
  <si>
    <t>61422795</t>
  </si>
  <si>
    <t>******3929</t>
  </si>
  <si>
    <t>S2504250317</t>
  </si>
  <si>
    <t>61422787</t>
  </si>
  <si>
    <t>25/04/2025</t>
  </si>
  <si>
    <t>S2504250054</t>
  </si>
  <si>
    <t>61419097</t>
  </si>
  <si>
    <t>124987750</t>
  </si>
  <si>
    <t>1922697</t>
  </si>
  <si>
    <t>24/04/2025</t>
  </si>
  <si>
    <t>S2504240558</t>
  </si>
  <si>
    <t>61521571</t>
  </si>
  <si>
    <t>S**** T**** B*****</t>
  </si>
  <si>
    <t>S2504240150</t>
  </si>
  <si>
    <t>61417446</t>
  </si>
  <si>
    <t>******4448</t>
  </si>
  <si>
    <t>S**** S*****</t>
  </si>
  <si>
    <t>S2504240061</t>
  </si>
  <si>
    <t>61416459</t>
  </si>
  <si>
    <t>******3304</t>
  </si>
  <si>
    <t>124987747</t>
  </si>
  <si>
    <t>1921602</t>
  </si>
  <si>
    <t>23/04/2025</t>
  </si>
  <si>
    <t>124987746</t>
  </si>
  <si>
    <t>1921601</t>
  </si>
  <si>
    <t>124987745</t>
  </si>
  <si>
    <t>1921597</t>
  </si>
  <si>
    <t>S2504230083</t>
  </si>
  <si>
    <t>61416451</t>
  </si>
  <si>
    <t>124987741</t>
  </si>
  <si>
    <t>1920791</t>
  </si>
  <si>
    <t>22/04/2025</t>
  </si>
  <si>
    <t>124987740</t>
  </si>
  <si>
    <t>1920785</t>
  </si>
  <si>
    <t>A**** G****</t>
  </si>
  <si>
    <t>S2504220591</t>
  </si>
  <si>
    <t>61416454</t>
  </si>
  <si>
    <t>******1398</t>
  </si>
  <si>
    <t>N B*****</t>
  </si>
  <si>
    <t>S2504220402</t>
  </si>
  <si>
    <t>61414441</t>
  </si>
  <si>
    <t>******2115</t>
  </si>
  <si>
    <t>A***** J******* K*********</t>
  </si>
  <si>
    <t>124987737</t>
  </si>
  <si>
    <t>1920492</t>
  </si>
  <si>
    <t>******4639</t>
  </si>
  <si>
    <t>S2504210273</t>
  </si>
  <si>
    <t>61464065</t>
  </si>
  <si>
    <t>21/04/2025</t>
  </si>
  <si>
    <t>S2504210067</t>
  </si>
  <si>
    <t>61412061</t>
  </si>
  <si>
    <t>R*** K****</t>
  </si>
  <si>
    <t>S2504190338</t>
  </si>
  <si>
    <t>61408127</t>
  </si>
  <si>
    <t>******5936</t>
  </si>
  <si>
    <t>19/04/2025</t>
  </si>
  <si>
    <t>S2504190245</t>
  </si>
  <si>
    <t>61408122</t>
  </si>
  <si>
    <t>D P********* R**</t>
  </si>
  <si>
    <t>S2504190099</t>
  </si>
  <si>
    <t>61408128</t>
  </si>
  <si>
    <t>******5972</t>
  </si>
  <si>
    <t>R***** C****** K*******</t>
  </si>
  <si>
    <t>S2504180653</t>
  </si>
  <si>
    <t>61405015</t>
  </si>
  <si>
    <t>******5396</t>
  </si>
  <si>
    <t>18/04/2025</t>
  </si>
  <si>
    <t>B****** K****</t>
  </si>
  <si>
    <t>124987731</t>
  </si>
  <si>
    <t>1917812</t>
  </si>
  <si>
    <t>******3493</t>
  </si>
  <si>
    <t>S2504170872</t>
  </si>
  <si>
    <t>61405009</t>
  </si>
  <si>
    <t>17/04/2025</t>
  </si>
  <si>
    <t>S2504160749</t>
  </si>
  <si>
    <t>61401956</t>
  </si>
  <si>
    <t>16/04/2025</t>
  </si>
  <si>
    <t>S2504160416</t>
  </si>
  <si>
    <t>61402004</t>
  </si>
  <si>
    <t>S2504160204</t>
  </si>
  <si>
    <t>61399444</t>
  </si>
  <si>
    <t>124987726</t>
  </si>
  <si>
    <t>1916072</t>
  </si>
  <si>
    <t>15/04/2025</t>
  </si>
  <si>
    <t>124987725</t>
  </si>
  <si>
    <t>1915724</t>
  </si>
  <si>
    <t>124987724</t>
  </si>
  <si>
    <t>1916085</t>
  </si>
  <si>
    <t>124987723</t>
  </si>
  <si>
    <t>1915500</t>
  </si>
  <si>
    <t>P*********** R***</t>
  </si>
  <si>
    <t>S2504140443</t>
  </si>
  <si>
    <t>61396111</t>
  </si>
  <si>
    <t>******0531</t>
  </si>
  <si>
    <t>14/04/2025</t>
  </si>
  <si>
    <t>S****** K**** R**</t>
  </si>
  <si>
    <t>S2504130403</t>
  </si>
  <si>
    <t>61394151</t>
  </si>
  <si>
    <t>******2566</t>
  </si>
  <si>
    <t>13/04/2025</t>
  </si>
  <si>
    <t>S2504130230</t>
  </si>
  <si>
    <t>61394142</t>
  </si>
  <si>
    <t>J****** D****</t>
  </si>
  <si>
    <t>S2504120587</t>
  </si>
  <si>
    <t>61461807</t>
  </si>
  <si>
    <t>******3923</t>
  </si>
  <si>
    <t>12/04/2025</t>
  </si>
  <si>
    <t>S2504120584</t>
  </si>
  <si>
    <t>61462237</t>
  </si>
  <si>
    <t>S2504120187</t>
  </si>
  <si>
    <t>61394134</t>
  </si>
  <si>
    <t>R** N******</t>
  </si>
  <si>
    <t>S2504120119</t>
  </si>
  <si>
    <t>61394123</t>
  </si>
  <si>
    <t>******6820</t>
  </si>
  <si>
    <t>S2504110336</t>
  </si>
  <si>
    <t>61392184</t>
  </si>
  <si>
    <t>11/04/2025</t>
  </si>
  <si>
    <t>M******** K*****</t>
  </si>
  <si>
    <t>S2504110023</t>
  </si>
  <si>
    <t>61388921</t>
  </si>
  <si>
    <t>******2912</t>
  </si>
  <si>
    <t>10/04/2025</t>
  </si>
  <si>
    <t>V**** H******</t>
  </si>
  <si>
    <t>S2504100342</t>
  </si>
  <si>
    <t>61388909</t>
  </si>
  <si>
    <t>******8049</t>
  </si>
  <si>
    <t>S2504100149</t>
  </si>
  <si>
    <t>61388897</t>
  </si>
  <si>
    <t>S2504090553</t>
  </si>
  <si>
    <t>61387378</t>
  </si>
  <si>
    <t>09/04/2025</t>
  </si>
  <si>
    <t>B*** M*****</t>
  </si>
  <si>
    <t>S2504090289</t>
  </si>
  <si>
    <t>61387036</t>
  </si>
  <si>
    <t>******1562</t>
  </si>
  <si>
    <t>J**** G***</t>
  </si>
  <si>
    <t>S2504090023</t>
  </si>
  <si>
    <t>61387375</t>
  </si>
  <si>
    <t>******8902</t>
  </si>
  <si>
    <t>08/04/2025</t>
  </si>
  <si>
    <t>S2504090022</t>
  </si>
  <si>
    <t>61387377</t>
  </si>
  <si>
    <t>S2504080669</t>
  </si>
  <si>
    <t>61461802</t>
  </si>
  <si>
    <t>S2504080667</t>
  </si>
  <si>
    <t>61383681</t>
  </si>
  <si>
    <t>S2504080630</t>
  </si>
  <si>
    <t>61383678</t>
  </si>
  <si>
    <t>S2504070688</t>
  </si>
  <si>
    <t>61381547</t>
  </si>
  <si>
    <t>07/04/2025</t>
  </si>
  <si>
    <t>A******* A******* A*******</t>
  </si>
  <si>
    <t>S2504060477</t>
  </si>
  <si>
    <t>61378616</t>
  </si>
  <si>
    <t>******5818</t>
  </si>
  <si>
    <t>06/04/2025</t>
  </si>
  <si>
    <t>S2504050683</t>
  </si>
  <si>
    <t>61378602</t>
  </si>
  <si>
    <t>05/04/2025</t>
  </si>
  <si>
    <t>S2504050143</t>
  </si>
  <si>
    <t>61376825</t>
  </si>
  <si>
    <t>V***** K**** M****</t>
  </si>
  <si>
    <t>S2504050003</t>
  </si>
  <si>
    <t>61376292</t>
  </si>
  <si>
    <t>******3616</t>
  </si>
  <si>
    <t>04/04/2025</t>
  </si>
  <si>
    <t>S2504040672</t>
  </si>
  <si>
    <t>61376268</t>
  </si>
  <si>
    <t>S2504040332</t>
  </si>
  <si>
    <t>61376205</t>
  </si>
  <si>
    <t>S2504030232</t>
  </si>
  <si>
    <t>61372210</t>
  </si>
  <si>
    <t>03/04/2025</t>
  </si>
  <si>
    <t>H***** C****</t>
  </si>
  <si>
    <t>S2504030183</t>
  </si>
  <si>
    <t>61372209</t>
  </si>
  <si>
    <t>******0439</t>
  </si>
  <si>
    <t>A*** N************ P****</t>
  </si>
  <si>
    <t>124987702</t>
  </si>
  <si>
    <t>1892471</t>
  </si>
  <si>
    <t>******7913</t>
  </si>
  <si>
    <t>02/04/2025</t>
  </si>
  <si>
    <t>L****** S*******</t>
  </si>
  <si>
    <t>124987697</t>
  </si>
  <si>
    <t>1890069</t>
  </si>
  <si>
    <t>******4572</t>
  </si>
  <si>
    <t>31/03/2025</t>
  </si>
  <si>
    <t>S2503300118</t>
  </si>
  <si>
    <t>61365166</t>
  </si>
  <si>
    <t>30/03/2025</t>
  </si>
  <si>
    <t>S2503290091</t>
  </si>
  <si>
    <t>61360899</t>
  </si>
  <si>
    <t>29/03/2025</t>
  </si>
  <si>
    <t>S2503280046</t>
  </si>
  <si>
    <t>61358040</t>
  </si>
  <si>
    <t>28/03/2025</t>
  </si>
  <si>
    <t>S2503270365</t>
  </si>
  <si>
    <t>61358064</t>
  </si>
  <si>
    <t>27/03/2025</t>
  </si>
  <si>
    <t>R****** M****</t>
  </si>
  <si>
    <t>S2503270286</t>
  </si>
  <si>
    <t>61360145</t>
  </si>
  <si>
    <t>******8859</t>
  </si>
  <si>
    <t>S2503260527</t>
  </si>
  <si>
    <t>61357701</t>
  </si>
  <si>
    <t>26/03/2025</t>
  </si>
  <si>
    <t>S************* B***</t>
  </si>
  <si>
    <t>S2503260498</t>
  </si>
  <si>
    <t>61354800</t>
  </si>
  <si>
    <t>******8442</t>
  </si>
  <si>
    <t>P***** A******</t>
  </si>
  <si>
    <t>124987683</t>
  </si>
  <si>
    <t>1883694</t>
  </si>
  <si>
    <t>******8755</t>
  </si>
  <si>
    <t>24/03/2025</t>
  </si>
  <si>
    <t>A*** M*****</t>
  </si>
  <si>
    <t>S2503230141</t>
  </si>
  <si>
    <t>61347559</t>
  </si>
  <si>
    <t>******1824</t>
  </si>
  <si>
    <t>23/03/2025</t>
  </si>
  <si>
    <t>R**** K****</t>
  </si>
  <si>
    <t>S2503230105</t>
  </si>
  <si>
    <t>61347520</t>
  </si>
  <si>
    <t>******4851</t>
  </si>
  <si>
    <t>D**** V********</t>
  </si>
  <si>
    <t>S2503230039</t>
  </si>
  <si>
    <t>61347506</t>
  </si>
  <si>
    <t>******7364</t>
  </si>
  <si>
    <t>S2503220177</t>
  </si>
  <si>
    <t>61347493</t>
  </si>
  <si>
    <t>22/03/2025</t>
  </si>
  <si>
    <t>S2503200417</t>
  </si>
  <si>
    <t>61343115</t>
  </si>
  <si>
    <t>20/03/2025</t>
  </si>
  <si>
    <t>B**** S***********</t>
  </si>
  <si>
    <t>S2503200107</t>
  </si>
  <si>
    <t>61341268</t>
  </si>
  <si>
    <t>******3802</t>
  </si>
  <si>
    <t>P****** G****</t>
  </si>
  <si>
    <t>S2503180261</t>
  </si>
  <si>
    <t>61338593</t>
  </si>
  <si>
    <t>******3535</t>
  </si>
  <si>
    <t>18/03/2025</t>
  </si>
  <si>
    <t>M***** S****</t>
  </si>
  <si>
    <t>S2503170327</t>
  </si>
  <si>
    <t>61336460</t>
  </si>
  <si>
    <t>******1057</t>
  </si>
  <si>
    <t>17/03/2025</t>
  </si>
  <si>
    <t>M****** S****</t>
  </si>
  <si>
    <t>S2503170114</t>
  </si>
  <si>
    <t>61333965</t>
  </si>
  <si>
    <t>******0584</t>
  </si>
  <si>
    <t>S2503140194</t>
  </si>
  <si>
    <t>61331571</t>
  </si>
  <si>
    <t>14/03/2025</t>
  </si>
  <si>
    <t>K**** S****** V*******</t>
  </si>
  <si>
    <t>S2503130377</t>
  </si>
  <si>
    <t>61331758</t>
  </si>
  <si>
    <t>******3614</t>
  </si>
  <si>
    <t>13/03/2025</t>
  </si>
  <si>
    <t>J******** G</t>
  </si>
  <si>
    <t>S2503120205</t>
  </si>
  <si>
    <t>61328148</t>
  </si>
  <si>
    <t>******8777</t>
  </si>
  <si>
    <t>12/03/2025</t>
  </si>
  <si>
    <t>S2503120085</t>
  </si>
  <si>
    <t>61326817</t>
  </si>
  <si>
    <t>R******* C********</t>
  </si>
  <si>
    <t>S2503120026</t>
  </si>
  <si>
    <t>61326772</t>
  </si>
  <si>
    <t>******6329</t>
  </si>
  <si>
    <t>S2503110093</t>
  </si>
  <si>
    <t>61325788</t>
  </si>
  <si>
    <t>11/03/2025</t>
  </si>
  <si>
    <t>S2503100148</t>
  </si>
  <si>
    <t>61330993</t>
  </si>
  <si>
    <t>10/03/2025</t>
  </si>
  <si>
    <t>S2503100146</t>
  </si>
  <si>
    <t>61328781</t>
  </si>
  <si>
    <t>M********** B***</t>
  </si>
  <si>
    <t>S2503090353</t>
  </si>
  <si>
    <t>61321639</t>
  </si>
  <si>
    <t>******0906</t>
  </si>
  <si>
    <t>09/03/2025</t>
  </si>
  <si>
    <t>S***** S*********</t>
  </si>
  <si>
    <t>S2503080206</t>
  </si>
  <si>
    <t>61321603</t>
  </si>
  <si>
    <t>******9845</t>
  </si>
  <si>
    <t>08/03/2025</t>
  </si>
  <si>
    <t>A***** K****</t>
  </si>
  <si>
    <t>S2503070533</t>
  </si>
  <si>
    <t>61319575</t>
  </si>
  <si>
    <t>******3233</t>
  </si>
  <si>
    <t>07/03/2025</t>
  </si>
  <si>
    <t>S****** M*********</t>
  </si>
  <si>
    <t>S2503070509</t>
  </si>
  <si>
    <t>61319580</t>
  </si>
  <si>
    <t>******0383</t>
  </si>
  <si>
    <t>E***** V****** C****** S*****</t>
  </si>
  <si>
    <t>S2503070364</t>
  </si>
  <si>
    <t>61319597</t>
  </si>
  <si>
    <t>******1423</t>
  </si>
  <si>
    <t>D** Y****</t>
  </si>
  <si>
    <t>S2503070142</t>
  </si>
  <si>
    <t>61317523</t>
  </si>
  <si>
    <t>******2729</t>
  </si>
  <si>
    <t>M**** G***</t>
  </si>
  <si>
    <t>S2503070069</t>
  </si>
  <si>
    <t>61317504</t>
  </si>
  <si>
    <t>******3086</t>
  </si>
  <si>
    <t>S2503060431</t>
  </si>
  <si>
    <t>61317247</t>
  </si>
  <si>
    <t>06/03/2025</t>
  </si>
  <si>
    <t>D******* C***** B*******</t>
  </si>
  <si>
    <t>S2503060289</t>
  </si>
  <si>
    <t>61317232</t>
  </si>
  <si>
    <t>******2828</t>
  </si>
  <si>
    <t>A**** R******</t>
  </si>
  <si>
    <t>S2503050115</t>
  </si>
  <si>
    <t>61313503</t>
  </si>
  <si>
    <t>******5582</t>
  </si>
  <si>
    <t>05/03/2025</t>
  </si>
  <si>
    <t>S2503050022</t>
  </si>
  <si>
    <t>61313436</t>
  </si>
  <si>
    <t>04/03/2025</t>
  </si>
  <si>
    <t>S2503050021</t>
  </si>
  <si>
    <t>61313433</t>
  </si>
  <si>
    <t>S2503040507</t>
  </si>
  <si>
    <t>61313523</t>
  </si>
  <si>
    <t>S2503040362</t>
  </si>
  <si>
    <t>61313158</t>
  </si>
  <si>
    <t>S2503030160</t>
  </si>
  <si>
    <t>61311710</t>
  </si>
  <si>
    <t>03/03/2025</t>
  </si>
  <si>
    <t>S2503020379</t>
  </si>
  <si>
    <t>61309165</t>
  </si>
  <si>
    <t>02/03/2025</t>
  </si>
  <si>
    <t>G****** M****** Q******</t>
  </si>
  <si>
    <t>S2503020003</t>
  </si>
  <si>
    <t>61309161</t>
  </si>
  <si>
    <t>******2546</t>
  </si>
  <si>
    <t>01/03/2025</t>
  </si>
  <si>
    <t>S2503010090</t>
  </si>
  <si>
    <t>61307095</t>
  </si>
  <si>
    <t>R***** N******* B*****</t>
  </si>
  <si>
    <t>S2503010008</t>
  </si>
  <si>
    <t>61311712</t>
  </si>
  <si>
    <t>******1197</t>
  </si>
  <si>
    <t>28/02/2025</t>
  </si>
  <si>
    <t>K***** R******</t>
  </si>
  <si>
    <t>S2502280229</t>
  </si>
  <si>
    <t>61306858</t>
  </si>
  <si>
    <t>******2000</t>
  </si>
  <si>
    <t>Y******* M******* Y****</t>
  </si>
  <si>
    <t>S2502280192</t>
  </si>
  <si>
    <t>61305289</t>
  </si>
  <si>
    <t>******5950</t>
  </si>
  <si>
    <t>S2502250446</t>
  </si>
  <si>
    <t>61299915</t>
  </si>
  <si>
    <t>25/02/2025</t>
  </si>
  <si>
    <t>S2502250001</t>
  </si>
  <si>
    <t>61299908</t>
  </si>
  <si>
    <t>24/02/2025</t>
  </si>
  <si>
    <t>S2502240096</t>
  </si>
  <si>
    <t>61297408</t>
  </si>
  <si>
    <t>S2502230199</t>
  </si>
  <si>
    <t>61295515</t>
  </si>
  <si>
    <t>23/02/2025</t>
  </si>
  <si>
    <t>P******* V**** K*********</t>
  </si>
  <si>
    <t>S2502230188</t>
  </si>
  <si>
    <t>61296154</t>
  </si>
  <si>
    <t>******9916</t>
  </si>
  <si>
    <t>S2502230156</t>
  </si>
  <si>
    <t>61295510</t>
  </si>
  <si>
    <t>S2502230095</t>
  </si>
  <si>
    <t>61295504</t>
  </si>
  <si>
    <t>A***** J***</t>
  </si>
  <si>
    <t>S2502220174</t>
  </si>
  <si>
    <t>61295503</t>
  </si>
  <si>
    <t>******8317</t>
  </si>
  <si>
    <t>22/02/2025</t>
  </si>
  <si>
    <t>M***** G***</t>
  </si>
  <si>
    <t>S2502210201</t>
  </si>
  <si>
    <t>61295497</t>
  </si>
  <si>
    <t>******7583</t>
  </si>
  <si>
    <t>21/02/2025</t>
  </si>
  <si>
    <t>K**** S</t>
  </si>
  <si>
    <t>S2502200057</t>
  </si>
  <si>
    <t>61289559</t>
  </si>
  <si>
    <t>******6541</t>
  </si>
  <si>
    <t>20/02/2025</t>
  </si>
  <si>
    <t>R******* M*******</t>
  </si>
  <si>
    <t>S2502180135</t>
  </si>
  <si>
    <t>61289572</t>
  </si>
  <si>
    <t>******9773</t>
  </si>
  <si>
    <t>18/02/2025</t>
  </si>
  <si>
    <t>S2502180105</t>
  </si>
  <si>
    <t>61287240</t>
  </si>
  <si>
    <t>17/02/2025</t>
  </si>
  <si>
    <t>S2502170054</t>
  </si>
  <si>
    <t>61282619</t>
  </si>
  <si>
    <t>******9835</t>
  </si>
  <si>
    <t>J******** P I</t>
  </si>
  <si>
    <t>S2502160362</t>
  </si>
  <si>
    <t>61282618</t>
  </si>
  <si>
    <t>******4446</t>
  </si>
  <si>
    <t>16/02/2025</t>
  </si>
  <si>
    <t>H******* J*****</t>
  </si>
  <si>
    <t>S2502160115</t>
  </si>
  <si>
    <t>61285216</t>
  </si>
  <si>
    <t>******0911</t>
  </si>
  <si>
    <t>S*** S****</t>
  </si>
  <si>
    <t>S2502150353</t>
  </si>
  <si>
    <t>61282611</t>
  </si>
  <si>
    <t>******2666</t>
  </si>
  <si>
    <t>15/02/2025</t>
  </si>
  <si>
    <t>S2502150249</t>
  </si>
  <si>
    <t>61282610</t>
  </si>
  <si>
    <t>******1544</t>
  </si>
  <si>
    <t>V***** B*******</t>
  </si>
  <si>
    <t>S2502150131</t>
  </si>
  <si>
    <t>61287239</t>
  </si>
  <si>
    <t>******5635</t>
  </si>
  <si>
    <t>R*** M*****</t>
  </si>
  <si>
    <t>S2502150097</t>
  </si>
  <si>
    <t>61285197</t>
  </si>
  <si>
    <t>******6548</t>
  </si>
  <si>
    <t>D******* S*****</t>
  </si>
  <si>
    <t>S2502140445</t>
  </si>
  <si>
    <t>61281150</t>
  </si>
  <si>
    <t>******0343</t>
  </si>
  <si>
    <t>14/02/2025</t>
  </si>
  <si>
    <t>S2502130094</t>
  </si>
  <si>
    <t>61279313</t>
  </si>
  <si>
    <t>13/02/2025</t>
  </si>
  <si>
    <t>P***** P***** S****</t>
  </si>
  <si>
    <t>S2502120331</t>
  </si>
  <si>
    <t>61291511</t>
  </si>
  <si>
    <t>******9673</t>
  </si>
  <si>
    <t>12/02/2025</t>
  </si>
  <si>
    <t>S********* S** T******</t>
  </si>
  <si>
    <t>S2502110591</t>
  </si>
  <si>
    <t>61274920</t>
  </si>
  <si>
    <t>******1348</t>
  </si>
  <si>
    <t>11/02/2025</t>
  </si>
  <si>
    <t>C***** J*****</t>
  </si>
  <si>
    <t>124987574</t>
  </si>
  <si>
    <t>1849729</t>
  </si>
  <si>
    <t>******6694</t>
  </si>
  <si>
    <t>S2502110377</t>
  </si>
  <si>
    <t>61274915</t>
  </si>
  <si>
    <t>S2502080121</t>
  </si>
  <si>
    <t>61268051</t>
  </si>
  <si>
    <t>08/02/2025</t>
  </si>
  <si>
    <t>S2502070576</t>
  </si>
  <si>
    <t>61268049</t>
  </si>
  <si>
    <t>07/02/2025</t>
  </si>
  <si>
    <t>S2502070518</t>
  </si>
  <si>
    <t>61268048</t>
  </si>
  <si>
    <t>124987561</t>
  </si>
  <si>
    <t>1846279</t>
  </si>
  <si>
    <t>124987557</t>
  </si>
  <si>
    <t>1845393</t>
  </si>
  <si>
    <t>M****** A***</t>
  </si>
  <si>
    <t>S2502040005</t>
  </si>
  <si>
    <t>61260281</t>
  </si>
  <si>
    <t>******8004</t>
  </si>
  <si>
    <t>03/02/2025</t>
  </si>
  <si>
    <t>K****** K******* R</t>
  </si>
  <si>
    <t>S2502010331</t>
  </si>
  <si>
    <t>61257805</t>
  </si>
  <si>
    <t>******5061</t>
  </si>
  <si>
    <t>01/02/2025</t>
  </si>
  <si>
    <t>S2501280346</t>
  </si>
  <si>
    <t>61307000</t>
  </si>
  <si>
    <t>28/01/2025</t>
  </si>
  <si>
    <t>S2501280317</t>
  </si>
  <si>
    <t>61276139</t>
  </si>
  <si>
    <t>S********** S***** K*****</t>
  </si>
  <si>
    <t>S2501280247</t>
  </si>
  <si>
    <t>61248084</t>
  </si>
  <si>
    <t>******2701</t>
  </si>
  <si>
    <t>S2501280245</t>
  </si>
  <si>
    <t>61248074</t>
  </si>
  <si>
    <t>P****** K**** D</t>
  </si>
  <si>
    <t>S2501280162</t>
  </si>
  <si>
    <t>61248069</t>
  </si>
  <si>
    <t>******4160</t>
  </si>
  <si>
    <t>S2501270400</t>
  </si>
  <si>
    <t>61246374</t>
  </si>
  <si>
    <t>27/01/2025</t>
  </si>
  <si>
    <t>S2501250387</t>
  </si>
  <si>
    <t>61244430</t>
  </si>
  <si>
    <t>25/01/2025</t>
  </si>
  <si>
    <t>R***** L</t>
  </si>
  <si>
    <t>S2501250207</t>
  </si>
  <si>
    <t>61244426</t>
  </si>
  <si>
    <t>******1336</t>
  </si>
  <si>
    <t>P*******</t>
  </si>
  <si>
    <t>S2501240409</t>
  </si>
  <si>
    <t>61242580</t>
  </si>
  <si>
    <t>******5415</t>
  </si>
  <si>
    <t>24/01/2025</t>
  </si>
  <si>
    <t>S2501220391</t>
  </si>
  <si>
    <t>61238377</t>
  </si>
  <si>
    <t>22/01/2025</t>
  </si>
  <si>
    <t>S2501220029</t>
  </si>
  <si>
    <t>61240034</t>
  </si>
  <si>
    <t>M**** C</t>
  </si>
  <si>
    <t>S2501200269</t>
  </si>
  <si>
    <t>61234204</t>
  </si>
  <si>
    <t>******8717</t>
  </si>
  <si>
    <t>20/01/2025</t>
  </si>
  <si>
    <t>S2501190325</t>
  </si>
  <si>
    <t>61231952</t>
  </si>
  <si>
    <t>19/01/2025</t>
  </si>
  <si>
    <t>G***** K****</t>
  </si>
  <si>
    <t>S2501170620</t>
  </si>
  <si>
    <t>61229518</t>
  </si>
  <si>
    <t>******8322</t>
  </si>
  <si>
    <t>17/01/2025</t>
  </si>
  <si>
    <t>S2501160265</t>
  </si>
  <si>
    <t>61227892</t>
  </si>
  <si>
    <t>16/01/2025</t>
  </si>
  <si>
    <t>S2501150369</t>
  </si>
  <si>
    <t>61225895</t>
  </si>
  <si>
    <t>15/01/2025</t>
  </si>
  <si>
    <t>K********* R***</t>
  </si>
  <si>
    <t>S2501150332</t>
  </si>
  <si>
    <t>61225892</t>
  </si>
  <si>
    <t>******2728</t>
  </si>
  <si>
    <t>V**** S**** B******</t>
  </si>
  <si>
    <t>S2501150119</t>
  </si>
  <si>
    <t>61224309</t>
  </si>
  <si>
    <t>******4164</t>
  </si>
  <si>
    <t>S2501140505</t>
  </si>
  <si>
    <t>61224157</t>
  </si>
  <si>
    <t>14/01/2025</t>
  </si>
  <si>
    <t>S2501140391</t>
  </si>
  <si>
    <t>61224150</t>
  </si>
  <si>
    <t>S2501130323</t>
  </si>
  <si>
    <t>61222528</t>
  </si>
  <si>
    <t>13/01/2025</t>
  </si>
  <si>
    <t>H***** K****</t>
  </si>
  <si>
    <t>S2501120128</t>
  </si>
  <si>
    <t>61220930</t>
  </si>
  <si>
    <t>******5112</t>
  </si>
  <si>
    <t>12/01/2025</t>
  </si>
  <si>
    <t>S2501110438</t>
  </si>
  <si>
    <t>61220925</t>
  </si>
  <si>
    <t>11/01/2025</t>
  </si>
  <si>
    <t>U**** S****</t>
  </si>
  <si>
    <t>S2501110174</t>
  </si>
  <si>
    <t>61219296</t>
  </si>
  <si>
    <t>******3211</t>
  </si>
  <si>
    <t>S2501110082</t>
  </si>
  <si>
    <t>61219288</t>
  </si>
  <si>
    <t>S******** B******* K*****</t>
  </si>
  <si>
    <t>S2501100297</t>
  </si>
  <si>
    <t>61218809</t>
  </si>
  <si>
    <t>******3141</t>
  </si>
  <si>
    <t>10/01/2025</t>
  </si>
  <si>
    <t>S2501100097</t>
  </si>
  <si>
    <t>61217700</t>
  </si>
  <si>
    <t>S2501070760</t>
  </si>
  <si>
    <t>61213965</t>
  </si>
  <si>
    <t>07/01/2025</t>
  </si>
  <si>
    <t>S**** P*****</t>
  </si>
  <si>
    <t>S2501060418</t>
  </si>
  <si>
    <t>61211852</t>
  </si>
  <si>
    <t>******9834</t>
  </si>
  <si>
    <t>06/01/2025</t>
  </si>
  <si>
    <t>S******* S****</t>
  </si>
  <si>
    <t>S2501060412</t>
  </si>
  <si>
    <t>61213805</t>
  </si>
  <si>
    <t>******0865</t>
  </si>
  <si>
    <t>B***** P****</t>
  </si>
  <si>
    <t>S2501060180</t>
  </si>
  <si>
    <t>61211848</t>
  </si>
  <si>
    <t>******3679</t>
  </si>
  <si>
    <t>S2501050305</t>
  </si>
  <si>
    <t>61208519</t>
  </si>
  <si>
    <t>05/01/2025</t>
  </si>
  <si>
    <t>S2501050050</t>
  </si>
  <si>
    <t>61208509</t>
  </si>
  <si>
    <t>S2501040008</t>
  </si>
  <si>
    <t>61209191</t>
  </si>
  <si>
    <t>03/01/2025</t>
  </si>
  <si>
    <t>J***** K********** L********</t>
  </si>
  <si>
    <t>S2501020309</t>
  </si>
  <si>
    <t>61204464</t>
  </si>
  <si>
    <t>******1011</t>
  </si>
  <si>
    <t>02/01/2025</t>
  </si>
  <si>
    <t>S2501020281</t>
  </si>
  <si>
    <t>61204652</t>
  </si>
  <si>
    <t>S2501020021</t>
  </si>
  <si>
    <t>61202894</t>
  </si>
  <si>
    <t>01/01/2025</t>
  </si>
  <si>
    <t>S2501010023</t>
  </si>
  <si>
    <t>61201843</t>
  </si>
  <si>
    <t>31/12/2024</t>
  </si>
  <si>
    <t>S2501010022</t>
  </si>
  <si>
    <t>61203384</t>
  </si>
  <si>
    <t>Tenure</t>
  </si>
  <si>
    <t>CONCATENATE</t>
  </si>
  <si>
    <t xml:space="preserve">Rate </t>
  </si>
  <si>
    <t>Mahindra</t>
  </si>
  <si>
    <t xml:space="preserve">Shriram </t>
  </si>
  <si>
    <t>Bajaj</t>
  </si>
  <si>
    <t>FD Tenure</t>
  </si>
  <si>
    <t>Rate</t>
  </si>
  <si>
    <t>12 Months</t>
  </si>
  <si>
    <t>12 to 23 Months</t>
  </si>
  <si>
    <t>15 Months</t>
  </si>
  <si>
    <t>18 Months</t>
  </si>
  <si>
    <t>24 Months</t>
  </si>
  <si>
    <t>24 Months to 35 Months</t>
  </si>
  <si>
    <t>30 Months</t>
  </si>
  <si>
    <t>36 Months to 47 Months</t>
  </si>
  <si>
    <t>36 Months</t>
  </si>
  <si>
    <t>42 Months</t>
  </si>
  <si>
    <t>44 Months</t>
  </si>
  <si>
    <t>48 Months</t>
  </si>
  <si>
    <t>50 Months</t>
  </si>
  <si>
    <t>48 to 60 Months</t>
  </si>
  <si>
    <t>60 Months</t>
  </si>
  <si>
    <t xml:space="preserve">Concatenate </t>
  </si>
  <si>
    <t xml:space="preserve">Commission Rate </t>
  </si>
  <si>
    <t xml:space="preserve">Amount </t>
  </si>
  <si>
    <t>Base Commission</t>
  </si>
  <si>
    <t>MBK Payable</t>
  </si>
  <si>
    <t>Jan</t>
  </si>
  <si>
    <t>Feb</t>
  </si>
  <si>
    <t>March</t>
  </si>
  <si>
    <t>April</t>
  </si>
  <si>
    <t>May</t>
  </si>
  <si>
    <t>June</t>
  </si>
  <si>
    <t>July</t>
  </si>
  <si>
    <t>Total Payable</t>
  </si>
  <si>
    <t>Month</t>
  </si>
  <si>
    <t>-</t>
  </si>
  <si>
    <t>MBK Payable(Data)</t>
  </si>
  <si>
    <t>(Inclusive of GST)</t>
  </si>
  <si>
    <t>Total Payable exclusive of GST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</si>
</sst>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.0_ ;_ * \-#,##0.0_ ;_ * &quot;-&quot;??_ ;_ @_ "/>
    <numFmt numFmtId="165" formatCode="_ * #,##0_ ;_ * \-#,##0_ ;_ * &quot;-&quot;??_ ;_ @_ "/>
    <numFmt numFmtId="166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40">
    <xf numFmtId="0" fontId="0" fillId="0" borderId="0" xfId="0"/>
    <xf numFmtId="0" fontId="0" fillId="2" borderId="0" xfId="0" applyFill="1"/>
    <xf numFmtId="3" fontId="0" fillId="0" borderId="0" xfId="0" applyNumberFormat="1"/>
    <xf numFmtId="0" fontId="4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10" fontId="0" fillId="0" borderId="1" xfId="0" applyNumberFormat="1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10" fontId="3" fillId="2" borderId="0" xfId="1" applyNumberFormat="1" applyFont="1" applyFill="1"/>
    <xf numFmtId="0" fontId="3" fillId="2" borderId="0" xfId="0" applyFont="1" applyFill="1"/>
    <xf numFmtId="10" fontId="3" fillId="0" borderId="0" xfId="1" applyNumberFormat="1" applyFont="1"/>
    <xf numFmtId="0" fontId="3" fillId="0" borderId="0" xfId="0" applyFont="1"/>
    <xf numFmtId="10" fontId="5" fillId="0" borderId="0" xfId="1" applyNumberFormat="1" applyFont="1"/>
    <xf numFmtId="0" fontId="5" fillId="0" borderId="0" xfId="0" applyFont="1"/>
    <xf numFmtId="0" fontId="0" fillId="4" borderId="0" xfId="0" applyFill="1"/>
    <xf numFmtId="0" fontId="6" fillId="4" borderId="0" xfId="0" applyFont="1" applyFill="1"/>
    <xf numFmtId="0" fontId="6" fillId="4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164" fontId="6" fillId="0" borderId="0" xfId="2" applyNumberFormat="1" applyFont="1" applyFill="1"/>
    <xf numFmtId="164" fontId="0" fillId="0" borderId="0" xfId="2" applyNumberFormat="1" applyFont="1"/>
    <xf numFmtId="165" fontId="1" fillId="0" borderId="0" xfId="2" applyNumberFormat="1" applyFont="1" applyFill="1"/>
    <xf numFmtId="165" fontId="0" fillId="0" borderId="0" xfId="0" applyNumberFormat="1"/>
    <xf numFmtId="165" fontId="1" fillId="0" borderId="0" xfId="3" applyNumberFormat="1" applyFont="1"/>
    <xf numFmtId="164" fontId="4" fillId="0" borderId="0" xfId="0" applyNumberFormat="1" applyFont="1"/>
    <xf numFmtId="164" fontId="0" fillId="0" borderId="0" xfId="0" applyNumberFormat="1"/>
    <xf numFmtId="164" fontId="4" fillId="4" borderId="0" xfId="0" applyNumberFormat="1" applyFont="1" applyFill="1"/>
    <xf numFmtId="0" fontId="0" fillId="0" borderId="0" xfId="0" applyAlignment="1">
      <alignment horizontal="center"/>
    </xf>
    <xf numFmtId="0" fontId="7" fillId="0" borderId="4" xfId="0" applyFont="1" applyBorder="1" applyAlignment="1">
      <alignment horizontal="right" wrapText="1"/>
    </xf>
    <xf numFmtId="0" fontId="7" fillId="0" borderId="5" xfId="0" applyFont="1" applyBorder="1" applyAlignment="1">
      <alignment horizontal="right" wrapText="1"/>
    </xf>
    <xf numFmtId="0" fontId="4" fillId="0" borderId="0" xfId="0" applyFont="1"/>
    <xf numFmtId="0" fontId="0" fillId="5" borderId="0" xfId="0" applyFill="1"/>
    <xf numFmtId="164" fontId="6" fillId="5" borderId="0" xfId="2" applyNumberFormat="1" applyFont="1" applyFill="1"/>
    <xf numFmtId="164" fontId="0" fillId="5" borderId="0" xfId="2" applyNumberFormat="1" applyFont="1" applyFill="1"/>
    <xf numFmtId="0" fontId="4" fillId="5" borderId="0" xfId="0" applyFont="1" applyFill="1"/>
    <xf numFmtId="1" fontId="8" fillId="0" borderId="0" xfId="0" applyNumberFormat="1" applyFont="1"/>
    <xf numFmtId="1" fontId="4" fillId="0" borderId="0" xfId="2" applyNumberFormat="1" applyFont="1"/>
    <xf numFmtId="1" fontId="4" fillId="0" borderId="0" xfId="0" applyNumberFormat="1" applyFont="1"/>
    <xf numFmtId="0" fontId="8" fillId="0" borderId="5" xfId="0" applyFont="1" applyBorder="1" applyAlignment="1">
      <alignment horizontal="right" wrapText="1"/>
    </xf>
  </cellXfs>
  <cellStyles count="4">
    <cellStyle name="Comma" xfId="2" builtinId="3"/>
    <cellStyle name="Comma 2 2" xfId="3" xr:uid="{00000000-0005-0000-0000-000001000000}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tabSelected="1" workbookViewId="0">
      <selection activeCell="D12" sqref="D12"/>
    </sheetView>
  </sheetViews>
  <sheetFormatPr defaultRowHeight="15" x14ac:dyDescent="0.25"/>
  <cols>
    <col min="1" max="1" width="23.28515625" bestFit="1" customWidth="1"/>
    <col min="2" max="2" width="11.5703125" customWidth="1"/>
    <col min="3" max="4" width="10" bestFit="1" customWidth="1"/>
    <col min="5" max="5" width="11.5703125" bestFit="1" customWidth="1"/>
    <col min="6" max="7" width="10" bestFit="1" customWidth="1"/>
    <col min="8" max="8" width="12.85546875" bestFit="1" customWidth="1"/>
    <col min="9" max="9" width="28.28515625" bestFit="1" customWidth="1"/>
    <col min="10" max="10" width="15.42578125" customWidth="1"/>
  </cols>
  <sheetData>
    <row r="1" spans="1:16" x14ac:dyDescent="0.25">
      <c r="A1" s="28" t="s">
        <v>1114</v>
      </c>
      <c r="B1" s="28"/>
      <c r="C1" s="28"/>
      <c r="D1" s="28"/>
      <c r="E1" s="28"/>
      <c r="F1" s="28"/>
      <c r="G1" s="28"/>
      <c r="H1" s="28"/>
    </row>
    <row r="2" spans="1:16" x14ac:dyDescent="0.25">
      <c r="B2" s="16" t="s">
        <v>1115</v>
      </c>
      <c r="C2" s="17" t="s">
        <v>1116</v>
      </c>
      <c r="D2" s="17" t="s">
        <v>1117</v>
      </c>
      <c r="E2" s="18" t="s">
        <v>1118</v>
      </c>
      <c r="F2" s="18" t="s">
        <v>1119</v>
      </c>
      <c r="G2" s="18" t="s">
        <v>1120</v>
      </c>
      <c r="H2" s="18" t="s">
        <v>1121</v>
      </c>
      <c r="I2" s="19" t="s">
        <v>1127</v>
      </c>
    </row>
    <row r="3" spans="1:16" x14ac:dyDescent="0.25">
      <c r="A3" t="s">
        <v>12</v>
      </c>
      <c r="B3" s="20">
        <f>SUMIFS('Fixed Deposit'!$N:$N,'Fixed Deposit'!$C:$C,MBK_NBFC!$A3,'Fixed Deposit'!$I:$I,MBK_NBFC!B$6)</f>
        <v>4326.2999999999993</v>
      </c>
      <c r="C3" s="20">
        <f>SUMIFS('Fixed Deposit'!$N:$N,'Fixed Deposit'!$C:$C,MBK_NBFC!$A3,'Fixed Deposit'!$I:$I,MBK_NBFC!C$6)</f>
        <v>3789.3999999999996</v>
      </c>
      <c r="D3" s="20">
        <f>SUMIFS('Fixed Deposit'!$N:$N,'Fixed Deposit'!$C:$C,MBK_NBFC!$A3,'Fixed Deposit'!$I:$I,MBK_NBFC!D$6)</f>
        <v>9225.6</v>
      </c>
      <c r="E3" s="20">
        <f>SUMIFS('Fixed Deposit'!$N:$N,'Fixed Deposit'!$C:$C,MBK_NBFC!$A3,'Fixed Deposit'!$I:$I,MBK_NBFC!E$6)</f>
        <v>20879.299999999992</v>
      </c>
      <c r="F3" s="20">
        <f>SUMIFS('Fixed Deposit'!$N:$N,'Fixed Deposit'!$C:$C,MBK_NBFC!$A3,'Fixed Deposit'!$I:$I,MBK_NBFC!F$6)</f>
        <v>876.7</v>
      </c>
      <c r="G3" s="20">
        <f>SUMIFS('Fixed Deposit'!$N:$N,'Fixed Deposit'!$C:$C,MBK_NBFC!$A3,'Fixed Deposit'!$I:$I,MBK_NBFC!G$6)</f>
        <v>6449.8000000000011</v>
      </c>
      <c r="H3" s="20">
        <f>SUMIFS('Fixed Deposit'!$N:$N,'Fixed Deposit'!$C:$C,MBK_NBFC!$A3,'Fixed Deposit'!$I:$I,MBK_NBFC!H$6)</f>
        <v>17731.799999999996</v>
      </c>
      <c r="I3" s="21">
        <f>SUM(B3:H3)</f>
        <v>63278.899999999987</v>
      </c>
    </row>
    <row r="4" spans="1:16" s="32" customFormat="1" ht="15.75" thickBot="1" x14ac:dyDescent="0.3">
      <c r="A4" s="32" t="s">
        <v>31</v>
      </c>
      <c r="B4" s="33">
        <f>SUMIFS('Fixed Deposit'!$N:$N,'Fixed Deposit'!$C:$C,MBK_NBFC!$A4,'Fixed Deposit'!$I:$I,MBK_NBFC!B$6)</f>
        <v>0</v>
      </c>
      <c r="C4" s="33">
        <f>SUMIFS('Fixed Deposit'!$N:$N,'Fixed Deposit'!$C:$C,MBK_NBFC!$A4,'Fixed Deposit'!$I:$I,MBK_NBFC!C$6)</f>
        <v>258.5</v>
      </c>
      <c r="D4" s="33">
        <f>SUMIFS('Fixed Deposit'!$N:$N,'Fixed Deposit'!$C:$C,MBK_NBFC!$A4,'Fixed Deposit'!$I:$I,MBK_NBFC!D$6)</f>
        <v>593.5</v>
      </c>
      <c r="E4" s="33">
        <f>SUMIFS('Fixed Deposit'!$N:$N,'Fixed Deposit'!$C:$C,MBK_NBFC!$A4,'Fixed Deposit'!$I:$I,MBK_NBFC!E$6)</f>
        <v>2830</v>
      </c>
      <c r="F4" s="33">
        <f>SUMIFS('Fixed Deposit'!$N:$N,'Fixed Deposit'!$C:$C,MBK_NBFC!$A4,'Fixed Deposit'!$I:$I,MBK_NBFC!F$6)</f>
        <v>1341.9</v>
      </c>
      <c r="G4" s="33">
        <f>SUMIFS('Fixed Deposit'!$N:$N,'Fixed Deposit'!$C:$C,MBK_NBFC!$A4,'Fixed Deposit'!$I:$I,MBK_NBFC!G$6)</f>
        <v>70.5</v>
      </c>
      <c r="H4" s="33">
        <f>SUMIFS('Fixed Deposit'!$N:$N,'Fixed Deposit'!$C:$C,MBK_NBFC!$A4,'Fixed Deposit'!$I:$I,MBK_NBFC!H$6)</f>
        <v>322.89999999999998</v>
      </c>
      <c r="I4" s="34">
        <f>SUM(B4:H4)</f>
        <v>5417.2999999999993</v>
      </c>
      <c r="J4" s="35" t="s">
        <v>1126</v>
      </c>
    </row>
    <row r="5" spans="1:16" ht="15.75" thickBot="1" x14ac:dyDescent="0.3">
      <c r="A5" t="s">
        <v>393</v>
      </c>
      <c r="B5" s="20">
        <f>SUMIFS('Fixed Deposit'!$N:$N,'Fixed Deposit'!$C:$C,MBK_NBFC!$A5,'Fixed Deposit'!$I:$I,MBK_NBFC!B$6)</f>
        <v>0</v>
      </c>
      <c r="C5" s="20">
        <f>SUMIFS('Fixed Deposit'!$N:$N,'Fixed Deposit'!$C:$C,MBK_NBFC!$A5,'Fixed Deposit'!$I:$I,MBK_NBFC!C$6)</f>
        <v>0</v>
      </c>
      <c r="D5" s="20">
        <f>SUMIFS('Fixed Deposit'!$N:$N,'Fixed Deposit'!$C:$C,MBK_NBFC!$A5,'Fixed Deposit'!$I:$I,MBK_NBFC!D$6)</f>
        <v>0</v>
      </c>
      <c r="E5" s="20">
        <f>SUMIFS('Fixed Deposit'!$N:$N,'Fixed Deposit'!$C:$C,MBK_NBFC!$A5,'Fixed Deposit'!$I:$I,MBK_NBFC!E$6)</f>
        <v>49</v>
      </c>
      <c r="F5" s="20">
        <f>SUMIFS('Fixed Deposit'!$N:$N,'Fixed Deposit'!$C:$C,MBK_NBFC!$A5,'Fixed Deposit'!$I:$I,MBK_NBFC!F$6)</f>
        <v>102</v>
      </c>
      <c r="G5" s="20">
        <f>SUMIFS('Fixed Deposit'!$N:$N,'Fixed Deposit'!$C:$C,MBK_NBFC!$A5,'Fixed Deposit'!$I:$I,MBK_NBFC!G$6)</f>
        <v>0</v>
      </c>
      <c r="H5" s="20" t="s">
        <v>1124</v>
      </c>
      <c r="I5" s="21">
        <f>SUM(B5:H5)</f>
        <v>151</v>
      </c>
      <c r="P5" s="29">
        <v>4313</v>
      </c>
    </row>
    <row r="6" spans="1:16" ht="15.75" thickBot="1" x14ac:dyDescent="0.3">
      <c r="B6">
        <v>1</v>
      </c>
      <c r="C6" s="22">
        <v>2</v>
      </c>
      <c r="D6" s="23">
        <v>3</v>
      </c>
      <c r="E6" s="24">
        <v>4</v>
      </c>
      <c r="F6" s="24">
        <v>5</v>
      </c>
      <c r="G6" s="24">
        <v>6</v>
      </c>
      <c r="H6" s="23">
        <v>7</v>
      </c>
      <c r="I6" s="26">
        <f>SUM(I3:I5)</f>
        <v>68847.199999999983</v>
      </c>
      <c r="P6" s="30">
        <v>3767</v>
      </c>
    </row>
    <row r="7" spans="1:16" ht="15.75" thickBot="1" x14ac:dyDescent="0.3">
      <c r="A7" s="19" t="s">
        <v>1122</v>
      </c>
      <c r="B7" s="25">
        <f>SUM(B3:B5)</f>
        <v>4326.2999999999993</v>
      </c>
      <c r="C7" s="25">
        <f t="shared" ref="C7:G7" si="0">SUM(C3:C5)</f>
        <v>4047.8999999999996</v>
      </c>
      <c r="D7" s="25">
        <f t="shared" si="0"/>
        <v>9819.1</v>
      </c>
      <c r="E7" s="25">
        <f t="shared" si="0"/>
        <v>23758.299999999992</v>
      </c>
      <c r="F7" s="25">
        <f t="shared" si="0"/>
        <v>2320.6000000000004</v>
      </c>
      <c r="G7" s="25">
        <f t="shared" si="0"/>
        <v>6520.3000000000011</v>
      </c>
      <c r="H7" s="25">
        <f>SUM(H3:H5)</f>
        <v>18054.699999999997</v>
      </c>
      <c r="I7" s="27">
        <f>SUM(B7:H7)</f>
        <v>68847.199999999983</v>
      </c>
      <c r="P7" s="30">
        <v>9819</v>
      </c>
    </row>
    <row r="8" spans="1:16" s="31" customFormat="1" ht="15.75" thickBot="1" x14ac:dyDescent="0.3">
      <c r="A8" s="31" t="s">
        <v>1125</v>
      </c>
      <c r="B8" s="36" cm="1">
        <f t="array" ref="B8:H8">TRANSPOSE(P5:P11)</f>
        <v>4313</v>
      </c>
      <c r="C8" s="37">
        <v>3767</v>
      </c>
      <c r="D8" s="37">
        <v>9819</v>
      </c>
      <c r="E8" s="37">
        <v>21301</v>
      </c>
      <c r="F8" s="37">
        <v>2219</v>
      </c>
      <c r="G8" s="37">
        <v>5164</v>
      </c>
      <c r="H8" s="37">
        <v>17176</v>
      </c>
      <c r="I8" s="38">
        <f>SUM(_xlfn.ANCHORARRAY(B8))</f>
        <v>63759</v>
      </c>
      <c r="P8" s="39">
        <v>21301</v>
      </c>
    </row>
    <row r="9" spans="1:16" ht="15.75" thickBot="1" x14ac:dyDescent="0.3">
      <c r="P9" s="30">
        <v>2219</v>
      </c>
    </row>
    <row r="10" spans="1:16" ht="15.75" thickBot="1" x14ac:dyDescent="0.3">
      <c r="P10" s="30">
        <v>5164</v>
      </c>
    </row>
    <row r="11" spans="1:16" ht="15.75" thickBot="1" x14ac:dyDescent="0.3">
      <c r="P11" s="30">
        <v>17176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04"/>
  <sheetViews>
    <sheetView topLeftCell="K1" workbookViewId="0">
      <selection activeCell="J1" sqref="J1"/>
    </sheetView>
  </sheetViews>
  <sheetFormatPr defaultRowHeight="15" x14ac:dyDescent="0.25"/>
  <cols>
    <col min="1" max="1" width="20" customWidth="1"/>
    <col min="2" max="4" width="30" customWidth="1"/>
    <col min="5" max="5" width="15" customWidth="1"/>
    <col min="6" max="11" width="30" customWidth="1"/>
    <col min="12" max="12" width="18.42578125" bestFit="1" customWidth="1"/>
    <col min="13" max="13" width="15.7109375" style="12" bestFit="1" customWidth="1"/>
    <col min="14" max="14" width="8.7109375" style="13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1123</v>
      </c>
      <c r="J1" s="1" t="s">
        <v>8</v>
      </c>
      <c r="K1" s="1" t="s">
        <v>9</v>
      </c>
      <c r="L1" s="1" t="s">
        <v>1110</v>
      </c>
      <c r="M1" s="10" t="s">
        <v>1111</v>
      </c>
      <c r="N1" s="11" t="s">
        <v>1112</v>
      </c>
    </row>
    <row r="2" spans="1:14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s="2">
        <v>25000</v>
      </c>
      <c r="H2" t="s">
        <v>16</v>
      </c>
      <c r="I2">
        <f>MONTH(H2)</f>
        <v>7</v>
      </c>
      <c r="J2">
        <v>7.58</v>
      </c>
      <c r="K2">
        <v>12</v>
      </c>
      <c r="L2" t="str">
        <f>CONCATENATE('Fixed Deposit'!C2," ",'Fixed Deposit'!K2)</f>
        <v>Shriram Finance 12</v>
      </c>
      <c r="M2" s="12">
        <f>VLOOKUP(L2,'Commercials '!$C$1:$D$15,2,)</f>
        <v>2.5999999999999999E-3</v>
      </c>
      <c r="N2" s="13">
        <f t="shared" ref="N2:N65" si="0">G2*M2</f>
        <v>65</v>
      </c>
    </row>
    <row r="3" spans="1:14" x14ac:dyDescent="0.25">
      <c r="A3" t="s">
        <v>10</v>
      </c>
      <c r="B3" t="s">
        <v>17</v>
      </c>
      <c r="C3" t="s">
        <v>12</v>
      </c>
      <c r="D3" t="s">
        <v>18</v>
      </c>
      <c r="E3" t="s">
        <v>19</v>
      </c>
      <c r="F3" t="s">
        <v>20</v>
      </c>
      <c r="G3" s="2">
        <v>5000</v>
      </c>
      <c r="H3" t="s">
        <v>16</v>
      </c>
      <c r="I3">
        <f t="shared" ref="I3:I66" si="1">MONTH(H3)</f>
        <v>7</v>
      </c>
      <c r="J3">
        <v>7.77</v>
      </c>
      <c r="K3">
        <v>36</v>
      </c>
      <c r="L3" t="str">
        <f>CONCATENATE('Fixed Deposit'!C3," ",'Fixed Deposit'!K3)</f>
        <v>Shriram Finance 36</v>
      </c>
      <c r="M3" s="12">
        <f>VLOOKUP(L3,'Commercials '!$C$1:$D$15,2,)</f>
        <v>1.0200000000000001E-2</v>
      </c>
      <c r="N3" s="13">
        <f t="shared" si="0"/>
        <v>51.000000000000007</v>
      </c>
    </row>
    <row r="4" spans="1:14" x14ac:dyDescent="0.25">
      <c r="A4" t="s">
        <v>10</v>
      </c>
      <c r="B4" t="s">
        <v>21</v>
      </c>
      <c r="C4" t="s">
        <v>12</v>
      </c>
      <c r="D4" t="s">
        <v>22</v>
      </c>
      <c r="E4" t="s">
        <v>23</v>
      </c>
      <c r="F4" t="s">
        <v>24</v>
      </c>
      <c r="G4" s="2">
        <v>9000</v>
      </c>
      <c r="H4" t="s">
        <v>25</v>
      </c>
      <c r="I4">
        <f t="shared" si="1"/>
        <v>7</v>
      </c>
      <c r="J4">
        <v>7.72</v>
      </c>
      <c r="K4">
        <v>36</v>
      </c>
      <c r="L4" t="str">
        <f>CONCATENATE('Fixed Deposit'!C4," ",'Fixed Deposit'!K4)</f>
        <v>Shriram Finance 36</v>
      </c>
      <c r="M4" s="12">
        <f>VLOOKUP(L4,'Commercials '!$C$1:$D$15,2,)</f>
        <v>1.0200000000000001E-2</v>
      </c>
      <c r="N4" s="13">
        <f t="shared" si="0"/>
        <v>91.800000000000011</v>
      </c>
    </row>
    <row r="5" spans="1:14" x14ac:dyDescent="0.25">
      <c r="A5" t="s">
        <v>10</v>
      </c>
      <c r="B5" t="s">
        <v>26</v>
      </c>
      <c r="C5" t="s">
        <v>12</v>
      </c>
      <c r="D5" t="s">
        <v>27</v>
      </c>
      <c r="E5" t="s">
        <v>28</v>
      </c>
      <c r="F5" t="s">
        <v>29</v>
      </c>
      <c r="G5" s="2">
        <v>5000</v>
      </c>
      <c r="H5" t="s">
        <v>25</v>
      </c>
      <c r="I5">
        <f t="shared" si="1"/>
        <v>7</v>
      </c>
      <c r="J5">
        <v>7.11</v>
      </c>
      <c r="K5">
        <v>12</v>
      </c>
      <c r="L5" t="str">
        <f>CONCATENATE('Fixed Deposit'!C5," ",'Fixed Deposit'!K5)</f>
        <v>Shriram Finance 12</v>
      </c>
      <c r="M5" s="12">
        <f>VLOOKUP(L5,'Commercials '!$C$1:$D$15,2,)</f>
        <v>2.5999999999999999E-3</v>
      </c>
      <c r="N5" s="13">
        <f t="shared" si="0"/>
        <v>13</v>
      </c>
    </row>
    <row r="6" spans="1:14" x14ac:dyDescent="0.25">
      <c r="A6" t="s">
        <v>10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s="2">
        <v>15000</v>
      </c>
      <c r="H6" t="s">
        <v>25</v>
      </c>
      <c r="I6">
        <f t="shared" si="1"/>
        <v>7</v>
      </c>
      <c r="J6">
        <v>6.95</v>
      </c>
      <c r="K6">
        <v>24</v>
      </c>
      <c r="L6" t="str">
        <f>CONCATENATE('Fixed Deposit'!C6," ",'Fixed Deposit'!K6)</f>
        <v>Bajaj Finance Ltd 24</v>
      </c>
      <c r="M6" s="12">
        <v>6.7999999999999996E-3</v>
      </c>
      <c r="N6" s="13">
        <f t="shared" si="0"/>
        <v>102</v>
      </c>
    </row>
    <row r="7" spans="1:14" x14ac:dyDescent="0.25">
      <c r="A7" t="s">
        <v>10</v>
      </c>
      <c r="B7" t="s">
        <v>35</v>
      </c>
      <c r="C7" t="s">
        <v>12</v>
      </c>
      <c r="D7" t="s">
        <v>36</v>
      </c>
      <c r="E7" t="s">
        <v>37</v>
      </c>
      <c r="F7" t="s">
        <v>38</v>
      </c>
      <c r="G7" s="2">
        <v>200000</v>
      </c>
      <c r="H7" t="s">
        <v>25</v>
      </c>
      <c r="I7">
        <f t="shared" si="1"/>
        <v>7</v>
      </c>
      <c r="J7">
        <v>7.21</v>
      </c>
      <c r="K7">
        <v>18</v>
      </c>
      <c r="L7" t="str">
        <f>CONCATENATE('Fixed Deposit'!C7," ",'Fixed Deposit'!K7)</f>
        <v>Shriram Finance 18</v>
      </c>
      <c r="M7" s="12">
        <f>VLOOKUP(L7,'Commercials '!$C$1:$D$15,2,)</f>
        <v>2.5999999999999999E-3</v>
      </c>
      <c r="N7" s="13">
        <f t="shared" si="0"/>
        <v>520</v>
      </c>
    </row>
    <row r="8" spans="1:14" x14ac:dyDescent="0.25">
      <c r="A8" t="s">
        <v>10</v>
      </c>
      <c r="B8" t="s">
        <v>39</v>
      </c>
      <c r="C8" t="s">
        <v>12</v>
      </c>
      <c r="D8" t="s">
        <v>40</v>
      </c>
      <c r="E8" t="s">
        <v>41</v>
      </c>
      <c r="F8" t="s">
        <v>42</v>
      </c>
      <c r="G8" s="2">
        <v>5000</v>
      </c>
      <c r="H8" t="s">
        <v>43</v>
      </c>
      <c r="I8">
        <f t="shared" si="1"/>
        <v>7</v>
      </c>
      <c r="J8">
        <v>7.16</v>
      </c>
      <c r="K8">
        <v>12</v>
      </c>
      <c r="L8" t="str">
        <f>CONCATENATE('Fixed Deposit'!C8," ",'Fixed Deposit'!K8)</f>
        <v>Shriram Finance 12</v>
      </c>
      <c r="M8" s="12">
        <f>VLOOKUP(L8,'Commercials '!$C$1:$D$15,2,)</f>
        <v>2.5999999999999999E-3</v>
      </c>
      <c r="N8" s="13">
        <f t="shared" si="0"/>
        <v>13</v>
      </c>
    </row>
    <row r="9" spans="1:14" x14ac:dyDescent="0.25">
      <c r="A9" t="s">
        <v>10</v>
      </c>
      <c r="B9" t="s">
        <v>44</v>
      </c>
      <c r="C9" t="s">
        <v>12</v>
      </c>
      <c r="D9" t="s">
        <v>45</v>
      </c>
      <c r="E9" t="s">
        <v>46</v>
      </c>
      <c r="F9" t="s">
        <v>47</v>
      </c>
      <c r="G9" s="2">
        <v>10000</v>
      </c>
      <c r="H9" t="s">
        <v>48</v>
      </c>
      <c r="I9">
        <f t="shared" si="1"/>
        <v>7</v>
      </c>
      <c r="J9">
        <v>7.11</v>
      </c>
      <c r="K9">
        <v>12</v>
      </c>
      <c r="L9" t="str">
        <f>CONCATENATE('Fixed Deposit'!C9," ",'Fixed Deposit'!K9)</f>
        <v>Shriram Finance 12</v>
      </c>
      <c r="M9" s="12">
        <f>VLOOKUP(L9,'Commercials '!$C$1:$D$15,2,)</f>
        <v>2.5999999999999999E-3</v>
      </c>
      <c r="N9" s="13">
        <f t="shared" si="0"/>
        <v>26</v>
      </c>
    </row>
    <row r="10" spans="1:14" x14ac:dyDescent="0.25">
      <c r="A10" t="s">
        <v>10</v>
      </c>
      <c r="B10" t="s">
        <v>35</v>
      </c>
      <c r="C10" t="s">
        <v>12</v>
      </c>
      <c r="D10" t="s">
        <v>49</v>
      </c>
      <c r="E10" t="s">
        <v>50</v>
      </c>
      <c r="F10" t="s">
        <v>38</v>
      </c>
      <c r="G10" s="2">
        <v>300000</v>
      </c>
      <c r="H10" t="s">
        <v>51</v>
      </c>
      <c r="I10">
        <f t="shared" si="1"/>
        <v>7</v>
      </c>
      <c r="J10">
        <v>7.77</v>
      </c>
      <c r="K10">
        <v>36</v>
      </c>
      <c r="L10" t="str">
        <f>CONCATENATE('Fixed Deposit'!C10," ",'Fixed Deposit'!K10)</f>
        <v>Shriram Finance 36</v>
      </c>
      <c r="M10" s="12">
        <f>VLOOKUP(L10,'Commercials '!$C$1:$D$15,2,)</f>
        <v>1.0200000000000001E-2</v>
      </c>
      <c r="N10" s="13">
        <f t="shared" si="0"/>
        <v>3060</v>
      </c>
    </row>
    <row r="11" spans="1:14" x14ac:dyDescent="0.25">
      <c r="A11" t="s">
        <v>10</v>
      </c>
      <c r="B11" t="s">
        <v>53</v>
      </c>
      <c r="C11" t="s">
        <v>12</v>
      </c>
      <c r="D11" t="s">
        <v>54</v>
      </c>
      <c r="E11" t="s">
        <v>55</v>
      </c>
      <c r="F11" t="s">
        <v>56</v>
      </c>
      <c r="G11" s="2">
        <v>50000</v>
      </c>
      <c r="H11" t="s">
        <v>57</v>
      </c>
      <c r="I11">
        <f t="shared" si="1"/>
        <v>7</v>
      </c>
      <c r="J11">
        <v>7.72</v>
      </c>
      <c r="K11">
        <v>36</v>
      </c>
      <c r="L11" t="str">
        <f>CONCATENATE('Fixed Deposit'!C11," ",'Fixed Deposit'!K11)</f>
        <v>Shriram Finance 36</v>
      </c>
      <c r="M11" s="12">
        <f>VLOOKUP(L11,'Commercials '!$C$1:$D$15,2,)</f>
        <v>1.0200000000000001E-2</v>
      </c>
      <c r="N11" s="13">
        <f t="shared" si="0"/>
        <v>510.00000000000006</v>
      </c>
    </row>
    <row r="12" spans="1:14" x14ac:dyDescent="0.25">
      <c r="A12" t="s">
        <v>10</v>
      </c>
      <c r="B12" t="s">
        <v>58</v>
      </c>
      <c r="C12" t="s">
        <v>12</v>
      </c>
      <c r="D12" t="s">
        <v>59</v>
      </c>
      <c r="E12" t="s">
        <v>60</v>
      </c>
      <c r="F12" t="s">
        <v>61</v>
      </c>
      <c r="G12" s="2">
        <v>70000</v>
      </c>
      <c r="H12" t="s">
        <v>57</v>
      </c>
      <c r="I12">
        <f t="shared" si="1"/>
        <v>7</v>
      </c>
      <c r="J12">
        <v>8.19</v>
      </c>
      <c r="K12">
        <v>36</v>
      </c>
      <c r="L12" t="str">
        <f>CONCATENATE('Fixed Deposit'!C12," ",'Fixed Deposit'!K12)</f>
        <v>Shriram Finance 36</v>
      </c>
      <c r="M12" s="12">
        <f>VLOOKUP(L12,'Commercials '!$C$1:$D$15,2,)</f>
        <v>1.0200000000000001E-2</v>
      </c>
      <c r="N12" s="13">
        <f t="shared" si="0"/>
        <v>714</v>
      </c>
    </row>
    <row r="13" spans="1:14" x14ac:dyDescent="0.25">
      <c r="A13" t="s">
        <v>10</v>
      </c>
      <c r="B13" t="s">
        <v>62</v>
      </c>
      <c r="C13" t="s">
        <v>12</v>
      </c>
      <c r="D13" t="s">
        <v>63</v>
      </c>
      <c r="E13" t="s">
        <v>64</v>
      </c>
      <c r="F13" t="s">
        <v>65</v>
      </c>
      <c r="G13" s="2">
        <v>500000</v>
      </c>
      <c r="H13" t="s">
        <v>66</v>
      </c>
      <c r="I13">
        <f t="shared" si="1"/>
        <v>7</v>
      </c>
      <c r="J13">
        <v>7.77</v>
      </c>
      <c r="K13">
        <v>36</v>
      </c>
      <c r="L13" t="str">
        <f>CONCATENATE('Fixed Deposit'!C13," ",'Fixed Deposit'!K13)</f>
        <v>Shriram Finance 36</v>
      </c>
      <c r="M13" s="12">
        <f>VLOOKUP(L13,'Commercials '!$C$1:$D$15,2,)</f>
        <v>1.0200000000000001E-2</v>
      </c>
      <c r="N13" s="13">
        <f t="shared" si="0"/>
        <v>5100</v>
      </c>
    </row>
    <row r="14" spans="1:14" x14ac:dyDescent="0.25">
      <c r="A14" t="s">
        <v>10</v>
      </c>
      <c r="B14" t="s">
        <v>67</v>
      </c>
      <c r="C14" t="s">
        <v>12</v>
      </c>
      <c r="D14" t="s">
        <v>68</v>
      </c>
      <c r="E14" t="s">
        <v>69</v>
      </c>
      <c r="F14" t="s">
        <v>70</v>
      </c>
      <c r="G14" s="2">
        <v>5000</v>
      </c>
      <c r="H14" t="s">
        <v>66</v>
      </c>
      <c r="I14">
        <f t="shared" si="1"/>
        <v>7</v>
      </c>
      <c r="J14">
        <v>7.85</v>
      </c>
      <c r="K14">
        <v>36</v>
      </c>
      <c r="L14" t="str">
        <f>CONCATENATE('Fixed Deposit'!C14," ",'Fixed Deposit'!K14)</f>
        <v>Shriram Finance 36</v>
      </c>
      <c r="M14" s="12">
        <f>VLOOKUP(L14,'Commercials '!$C$1:$D$15,2,)</f>
        <v>1.0200000000000001E-2</v>
      </c>
      <c r="N14" s="13">
        <f t="shared" si="0"/>
        <v>51.000000000000007</v>
      </c>
    </row>
    <row r="15" spans="1:14" x14ac:dyDescent="0.25">
      <c r="A15" t="s">
        <v>10</v>
      </c>
      <c r="B15" t="s">
        <v>71</v>
      </c>
      <c r="C15" t="s">
        <v>12</v>
      </c>
      <c r="D15" t="s">
        <v>72</v>
      </c>
      <c r="E15" t="s">
        <v>73</v>
      </c>
      <c r="F15" t="s">
        <v>74</v>
      </c>
      <c r="G15" s="2">
        <v>22000</v>
      </c>
      <c r="H15" t="s">
        <v>75</v>
      </c>
      <c r="I15">
        <f t="shared" si="1"/>
        <v>7</v>
      </c>
      <c r="J15">
        <v>7.72</v>
      </c>
      <c r="K15">
        <v>60</v>
      </c>
      <c r="L15" t="str">
        <f>CONCATENATE('Fixed Deposit'!C15," ",'Fixed Deposit'!K15)</f>
        <v>Shriram Finance 60</v>
      </c>
      <c r="M15" s="12">
        <f>VLOOKUP(L15,'Commercials '!$C$1:$D$15,2,)</f>
        <v>1.1900000000000001E-2</v>
      </c>
      <c r="N15" s="13">
        <f t="shared" si="0"/>
        <v>261.8</v>
      </c>
    </row>
    <row r="16" spans="1:14" x14ac:dyDescent="0.25">
      <c r="A16" t="s">
        <v>10</v>
      </c>
      <c r="B16" t="s">
        <v>76</v>
      </c>
      <c r="C16" t="s">
        <v>12</v>
      </c>
      <c r="D16" t="s">
        <v>77</v>
      </c>
      <c r="E16" t="s">
        <v>78</v>
      </c>
      <c r="F16" t="s">
        <v>79</v>
      </c>
      <c r="G16" s="2">
        <v>5000</v>
      </c>
      <c r="H16" t="s">
        <v>80</v>
      </c>
      <c r="I16">
        <f t="shared" si="1"/>
        <v>7</v>
      </c>
      <c r="J16">
        <v>7.11</v>
      </c>
      <c r="K16">
        <v>12</v>
      </c>
      <c r="L16" t="str">
        <f>CONCATENATE('Fixed Deposit'!C16," ",'Fixed Deposit'!K16)</f>
        <v>Shriram Finance 12</v>
      </c>
      <c r="M16" s="12">
        <f>VLOOKUP(L16,'Commercials '!$C$1:$D$15,2,)</f>
        <v>2.5999999999999999E-3</v>
      </c>
      <c r="N16" s="13">
        <f t="shared" si="0"/>
        <v>13</v>
      </c>
    </row>
    <row r="17" spans="1:14" x14ac:dyDescent="0.25">
      <c r="A17" t="s">
        <v>10</v>
      </c>
      <c r="B17" t="s">
        <v>44</v>
      </c>
      <c r="C17" t="s">
        <v>12</v>
      </c>
      <c r="D17" t="s">
        <v>81</v>
      </c>
      <c r="E17" t="s">
        <v>82</v>
      </c>
      <c r="F17" t="s">
        <v>47</v>
      </c>
      <c r="G17" s="2">
        <v>60000</v>
      </c>
      <c r="H17" t="s">
        <v>83</v>
      </c>
      <c r="I17">
        <f t="shared" si="1"/>
        <v>7</v>
      </c>
      <c r="J17">
        <v>7.16</v>
      </c>
      <c r="K17">
        <v>18</v>
      </c>
      <c r="L17" t="str">
        <f>CONCATENATE('Fixed Deposit'!C17," ",'Fixed Deposit'!K17)</f>
        <v>Shriram Finance 18</v>
      </c>
      <c r="M17" s="12">
        <f>VLOOKUP(L17,'Commercials '!$C$1:$D$15,2,)</f>
        <v>2.5999999999999999E-3</v>
      </c>
      <c r="N17" s="13">
        <f t="shared" si="0"/>
        <v>156</v>
      </c>
    </row>
    <row r="18" spans="1:14" x14ac:dyDescent="0.25">
      <c r="A18" t="s">
        <v>10</v>
      </c>
      <c r="B18" t="s">
        <v>84</v>
      </c>
      <c r="C18" t="s">
        <v>12</v>
      </c>
      <c r="D18" t="s">
        <v>85</v>
      </c>
      <c r="E18" t="s">
        <v>86</v>
      </c>
      <c r="F18" t="s">
        <v>87</v>
      </c>
      <c r="G18" s="2">
        <v>80000</v>
      </c>
      <c r="H18" t="s">
        <v>83</v>
      </c>
      <c r="I18">
        <f t="shared" si="1"/>
        <v>7</v>
      </c>
      <c r="J18">
        <v>7.16</v>
      </c>
      <c r="K18">
        <v>12</v>
      </c>
      <c r="L18" t="str">
        <f>CONCATENATE('Fixed Deposit'!C18," ",'Fixed Deposit'!K18)</f>
        <v>Shriram Finance 12</v>
      </c>
      <c r="M18" s="12">
        <f>VLOOKUP(L18,'Commercials '!$C$1:$D$15,2,)</f>
        <v>2.5999999999999999E-3</v>
      </c>
      <c r="N18" s="13">
        <f t="shared" si="0"/>
        <v>208</v>
      </c>
    </row>
    <row r="19" spans="1:14" x14ac:dyDescent="0.25">
      <c r="A19" t="s">
        <v>10</v>
      </c>
      <c r="B19" t="s">
        <v>88</v>
      </c>
      <c r="C19" t="s">
        <v>12</v>
      </c>
      <c r="D19" t="s">
        <v>89</v>
      </c>
      <c r="E19" t="s">
        <v>90</v>
      </c>
      <c r="F19" t="s">
        <v>91</v>
      </c>
      <c r="G19" s="2">
        <v>50000</v>
      </c>
      <c r="H19" t="s">
        <v>92</v>
      </c>
      <c r="I19">
        <f t="shared" si="1"/>
        <v>7</v>
      </c>
      <c r="J19">
        <v>7.11</v>
      </c>
      <c r="K19">
        <v>12</v>
      </c>
      <c r="L19" t="str">
        <f>CONCATENATE('Fixed Deposit'!C19," ",'Fixed Deposit'!K19)</f>
        <v>Shriram Finance 12</v>
      </c>
      <c r="M19" s="12">
        <f>VLOOKUP(L19,'Commercials '!$C$1:$D$15,2,)</f>
        <v>2.5999999999999999E-3</v>
      </c>
      <c r="N19" s="13">
        <f t="shared" si="0"/>
        <v>130</v>
      </c>
    </row>
    <row r="20" spans="1:14" x14ac:dyDescent="0.25">
      <c r="A20" t="s">
        <v>10</v>
      </c>
      <c r="B20" t="s">
        <v>93</v>
      </c>
      <c r="C20" t="s">
        <v>12</v>
      </c>
      <c r="D20" t="s">
        <v>94</v>
      </c>
      <c r="E20" t="s">
        <v>95</v>
      </c>
      <c r="F20" t="s">
        <v>96</v>
      </c>
      <c r="G20" s="2">
        <v>7000</v>
      </c>
      <c r="H20" t="s">
        <v>92</v>
      </c>
      <c r="I20">
        <f t="shared" si="1"/>
        <v>7</v>
      </c>
      <c r="J20">
        <v>7.72</v>
      </c>
      <c r="K20">
        <v>60</v>
      </c>
      <c r="L20" t="str">
        <f>CONCATENATE('Fixed Deposit'!C20," ",'Fixed Deposit'!K20)</f>
        <v>Shriram Finance 60</v>
      </c>
      <c r="M20" s="12">
        <f>VLOOKUP(L20,'Commercials '!$C$1:$D$15,2,)</f>
        <v>1.1900000000000001E-2</v>
      </c>
      <c r="N20" s="13">
        <f t="shared" si="0"/>
        <v>83.300000000000011</v>
      </c>
    </row>
    <row r="21" spans="1:14" x14ac:dyDescent="0.25">
      <c r="A21" t="s">
        <v>10</v>
      </c>
      <c r="B21" t="s">
        <v>97</v>
      </c>
      <c r="C21" t="s">
        <v>12</v>
      </c>
      <c r="D21" t="s">
        <v>98</v>
      </c>
      <c r="E21" t="s">
        <v>99</v>
      </c>
      <c r="F21" t="s">
        <v>100</v>
      </c>
      <c r="G21" s="2">
        <v>5000</v>
      </c>
      <c r="H21" t="s">
        <v>101</v>
      </c>
      <c r="I21">
        <f t="shared" si="1"/>
        <v>7</v>
      </c>
      <c r="J21">
        <v>7.11</v>
      </c>
      <c r="K21">
        <v>12</v>
      </c>
      <c r="L21" t="str">
        <f>CONCATENATE('Fixed Deposit'!C21," ",'Fixed Deposit'!K21)</f>
        <v>Shriram Finance 12</v>
      </c>
      <c r="M21" s="12">
        <f>VLOOKUP(L21,'Commercials '!$C$1:$D$15,2,)</f>
        <v>2.5999999999999999E-3</v>
      </c>
      <c r="N21" s="13">
        <f t="shared" si="0"/>
        <v>13</v>
      </c>
    </row>
    <row r="22" spans="1:14" x14ac:dyDescent="0.25">
      <c r="A22" t="s">
        <v>10</v>
      </c>
      <c r="B22" t="s">
        <v>102</v>
      </c>
      <c r="C22" t="s">
        <v>12</v>
      </c>
      <c r="D22" t="s">
        <v>103</v>
      </c>
      <c r="E22" t="s">
        <v>104</v>
      </c>
      <c r="F22" t="s">
        <v>105</v>
      </c>
      <c r="G22" s="2">
        <v>5000</v>
      </c>
      <c r="H22" t="s">
        <v>106</v>
      </c>
      <c r="I22">
        <f t="shared" si="1"/>
        <v>7</v>
      </c>
      <c r="J22">
        <v>7.11</v>
      </c>
      <c r="K22">
        <v>12</v>
      </c>
      <c r="L22" t="str">
        <f>CONCATENATE('Fixed Deposit'!C22," ",'Fixed Deposit'!K22)</f>
        <v>Shriram Finance 12</v>
      </c>
      <c r="M22" s="12">
        <f>VLOOKUP(L22,'Commercials '!$C$1:$D$15,2,)</f>
        <v>2.5999999999999999E-3</v>
      </c>
      <c r="N22" s="13">
        <f t="shared" si="0"/>
        <v>13</v>
      </c>
    </row>
    <row r="23" spans="1:14" x14ac:dyDescent="0.25">
      <c r="A23" t="s">
        <v>10</v>
      </c>
      <c r="B23" t="s">
        <v>107</v>
      </c>
      <c r="C23" t="s">
        <v>12</v>
      </c>
      <c r="D23" t="s">
        <v>108</v>
      </c>
      <c r="E23" t="s">
        <v>109</v>
      </c>
      <c r="F23" t="s">
        <v>110</v>
      </c>
      <c r="G23" s="2">
        <v>5000</v>
      </c>
      <c r="H23" t="s">
        <v>106</v>
      </c>
      <c r="I23">
        <f t="shared" si="1"/>
        <v>7</v>
      </c>
      <c r="J23">
        <v>7.11</v>
      </c>
      <c r="K23">
        <v>12</v>
      </c>
      <c r="L23" t="str">
        <f>CONCATENATE('Fixed Deposit'!C23," ",'Fixed Deposit'!K23)</f>
        <v>Shriram Finance 12</v>
      </c>
      <c r="M23" s="12">
        <f>VLOOKUP(L23,'Commercials '!$C$1:$D$15,2,)</f>
        <v>2.5999999999999999E-3</v>
      </c>
      <c r="N23" s="13">
        <f t="shared" si="0"/>
        <v>13</v>
      </c>
    </row>
    <row r="24" spans="1:14" x14ac:dyDescent="0.25">
      <c r="A24" t="s">
        <v>10</v>
      </c>
      <c r="B24" t="s">
        <v>111</v>
      </c>
      <c r="C24" t="s">
        <v>12</v>
      </c>
      <c r="D24" t="s">
        <v>112</v>
      </c>
      <c r="E24" t="s">
        <v>113</v>
      </c>
      <c r="F24" t="s">
        <v>114</v>
      </c>
      <c r="G24" s="2">
        <v>5000</v>
      </c>
      <c r="H24" t="s">
        <v>115</v>
      </c>
      <c r="I24">
        <f t="shared" si="1"/>
        <v>7</v>
      </c>
      <c r="J24">
        <v>7.77</v>
      </c>
      <c r="K24">
        <v>36</v>
      </c>
      <c r="L24" t="str">
        <f>CONCATENATE('Fixed Deposit'!C24," ",'Fixed Deposit'!K24)</f>
        <v>Shriram Finance 36</v>
      </c>
      <c r="M24" s="12">
        <f>VLOOKUP(L24,'Commercials '!$C$1:$D$15,2,)</f>
        <v>1.0200000000000001E-2</v>
      </c>
      <c r="N24" s="13">
        <f t="shared" si="0"/>
        <v>51.000000000000007</v>
      </c>
    </row>
    <row r="25" spans="1:14" x14ac:dyDescent="0.25">
      <c r="A25" t="s">
        <v>10</v>
      </c>
      <c r="B25" t="s">
        <v>116</v>
      </c>
      <c r="C25" t="s">
        <v>12</v>
      </c>
      <c r="D25" t="s">
        <v>117</v>
      </c>
      <c r="E25" t="s">
        <v>118</v>
      </c>
      <c r="F25" t="s">
        <v>119</v>
      </c>
      <c r="G25" s="2">
        <v>10000</v>
      </c>
      <c r="H25" t="s">
        <v>120</v>
      </c>
      <c r="I25">
        <f t="shared" si="1"/>
        <v>7</v>
      </c>
      <c r="J25">
        <v>7.11</v>
      </c>
      <c r="K25">
        <v>12</v>
      </c>
      <c r="L25" t="str">
        <f>CONCATENATE('Fixed Deposit'!C25," ",'Fixed Deposit'!K25)</f>
        <v>Shriram Finance 12</v>
      </c>
      <c r="M25" s="12">
        <f>VLOOKUP(L25,'Commercials '!$C$1:$D$15,2,)</f>
        <v>2.5999999999999999E-3</v>
      </c>
      <c r="N25" s="13">
        <f t="shared" si="0"/>
        <v>26</v>
      </c>
    </row>
    <row r="26" spans="1:14" x14ac:dyDescent="0.25">
      <c r="A26" t="s">
        <v>10</v>
      </c>
      <c r="B26" t="s">
        <v>121</v>
      </c>
      <c r="C26" t="s">
        <v>12</v>
      </c>
      <c r="D26" t="s">
        <v>122</v>
      </c>
      <c r="E26" t="s">
        <v>123</v>
      </c>
      <c r="F26" t="s">
        <v>124</v>
      </c>
      <c r="G26" s="2">
        <v>40000</v>
      </c>
      <c r="H26" t="s">
        <v>125</v>
      </c>
      <c r="I26">
        <f t="shared" si="1"/>
        <v>7</v>
      </c>
      <c r="J26">
        <v>7.16</v>
      </c>
      <c r="K26">
        <v>12</v>
      </c>
      <c r="L26" t="str">
        <f>CONCATENATE('Fixed Deposit'!C26," ",'Fixed Deposit'!K26)</f>
        <v>Shriram Finance 12</v>
      </c>
      <c r="M26" s="12">
        <f>VLOOKUP(L26,'Commercials '!$C$1:$D$15,2,)</f>
        <v>2.5999999999999999E-3</v>
      </c>
      <c r="N26" s="13">
        <f t="shared" si="0"/>
        <v>104</v>
      </c>
    </row>
    <row r="27" spans="1:14" x14ac:dyDescent="0.25">
      <c r="A27" t="s">
        <v>10</v>
      </c>
      <c r="B27" t="s">
        <v>126</v>
      </c>
      <c r="C27" t="s">
        <v>12</v>
      </c>
      <c r="D27" t="s">
        <v>127</v>
      </c>
      <c r="E27" t="s">
        <v>128</v>
      </c>
      <c r="F27" t="s">
        <v>129</v>
      </c>
      <c r="G27" s="2">
        <v>5000</v>
      </c>
      <c r="H27" t="s">
        <v>130</v>
      </c>
      <c r="I27">
        <f t="shared" si="1"/>
        <v>7</v>
      </c>
      <c r="J27">
        <v>7.11</v>
      </c>
      <c r="K27">
        <v>12</v>
      </c>
      <c r="L27" t="str">
        <f>CONCATENATE('Fixed Deposit'!C27," ",'Fixed Deposit'!K27)</f>
        <v>Shriram Finance 12</v>
      </c>
      <c r="M27" s="12">
        <f>VLOOKUP(L27,'Commercials '!$C$1:$D$15,2,)</f>
        <v>2.5999999999999999E-3</v>
      </c>
      <c r="N27" s="13">
        <f t="shared" si="0"/>
        <v>13</v>
      </c>
    </row>
    <row r="28" spans="1:14" x14ac:dyDescent="0.25">
      <c r="A28" t="s">
        <v>10</v>
      </c>
      <c r="B28" t="s">
        <v>131</v>
      </c>
      <c r="C28" t="s">
        <v>12</v>
      </c>
      <c r="D28" t="s">
        <v>132</v>
      </c>
      <c r="E28" t="s">
        <v>133</v>
      </c>
      <c r="F28" t="s">
        <v>134</v>
      </c>
      <c r="G28" s="2">
        <v>21000</v>
      </c>
      <c r="H28" t="s">
        <v>130</v>
      </c>
      <c r="I28">
        <f t="shared" si="1"/>
        <v>7</v>
      </c>
      <c r="J28">
        <v>7.11</v>
      </c>
      <c r="K28">
        <v>12</v>
      </c>
      <c r="L28" t="str">
        <f>CONCATENATE('Fixed Deposit'!C28," ",'Fixed Deposit'!K28)</f>
        <v>Shriram Finance 12</v>
      </c>
      <c r="M28" s="12">
        <f>VLOOKUP(L28,'Commercials '!$C$1:$D$15,2,)</f>
        <v>2.5999999999999999E-3</v>
      </c>
      <c r="N28" s="13">
        <f t="shared" si="0"/>
        <v>54.599999999999994</v>
      </c>
    </row>
    <row r="29" spans="1:14" x14ac:dyDescent="0.25">
      <c r="A29" t="s">
        <v>10</v>
      </c>
      <c r="B29" t="s">
        <v>135</v>
      </c>
      <c r="C29" t="s">
        <v>12</v>
      </c>
      <c r="D29" t="s">
        <v>136</v>
      </c>
      <c r="E29" t="s">
        <v>137</v>
      </c>
      <c r="F29" t="s">
        <v>138</v>
      </c>
      <c r="G29" s="2">
        <v>80000</v>
      </c>
      <c r="H29" t="s">
        <v>139</v>
      </c>
      <c r="I29">
        <f t="shared" si="1"/>
        <v>7</v>
      </c>
      <c r="J29">
        <v>7.16</v>
      </c>
      <c r="K29">
        <v>12</v>
      </c>
      <c r="L29" t="str">
        <f>CONCATENATE('Fixed Deposit'!C29," ",'Fixed Deposit'!K29)</f>
        <v>Shriram Finance 12</v>
      </c>
      <c r="M29" s="12">
        <f>VLOOKUP(L29,'Commercials '!$C$1:$D$15,2,)</f>
        <v>2.5999999999999999E-3</v>
      </c>
      <c r="N29" s="13">
        <f t="shared" si="0"/>
        <v>208</v>
      </c>
    </row>
    <row r="30" spans="1:14" x14ac:dyDescent="0.25">
      <c r="A30" t="s">
        <v>10</v>
      </c>
      <c r="B30" t="s">
        <v>140</v>
      </c>
      <c r="C30" t="s">
        <v>12</v>
      </c>
      <c r="D30" t="s">
        <v>141</v>
      </c>
      <c r="E30" t="s">
        <v>142</v>
      </c>
      <c r="F30" t="s">
        <v>143</v>
      </c>
      <c r="G30" s="2">
        <v>60000</v>
      </c>
      <c r="H30" t="s">
        <v>139</v>
      </c>
      <c r="I30">
        <f t="shared" si="1"/>
        <v>7</v>
      </c>
      <c r="J30">
        <v>7.21</v>
      </c>
      <c r="K30">
        <v>18</v>
      </c>
      <c r="L30" t="str">
        <f>CONCATENATE('Fixed Deposit'!C30," ",'Fixed Deposit'!K30)</f>
        <v>Shriram Finance 18</v>
      </c>
      <c r="M30" s="12">
        <f>VLOOKUP(L30,'Commercials '!$C$1:$D$15,2,)</f>
        <v>2.5999999999999999E-3</v>
      </c>
      <c r="N30" s="13">
        <f t="shared" si="0"/>
        <v>156</v>
      </c>
    </row>
    <row r="31" spans="1:14" x14ac:dyDescent="0.25">
      <c r="A31" t="s">
        <v>10</v>
      </c>
      <c r="B31" t="s">
        <v>102</v>
      </c>
      <c r="C31" t="s">
        <v>31</v>
      </c>
      <c r="D31" t="s">
        <v>144</v>
      </c>
      <c r="E31" t="s">
        <v>145</v>
      </c>
      <c r="F31" t="s">
        <v>105</v>
      </c>
      <c r="G31" s="2">
        <v>47000</v>
      </c>
      <c r="H31" t="s">
        <v>139</v>
      </c>
      <c r="I31">
        <f t="shared" si="1"/>
        <v>7</v>
      </c>
      <c r="J31">
        <v>6.6</v>
      </c>
      <c r="K31">
        <v>12</v>
      </c>
      <c r="L31" t="str">
        <f>CONCATENATE('Fixed Deposit'!C31," ",'Fixed Deposit'!K31)</f>
        <v>Bajaj Finance Ltd 12</v>
      </c>
      <c r="M31" s="12">
        <f>VLOOKUP(L31,'Commercials '!$C$1:$D$15,2,)</f>
        <v>4.7000000000000002E-3</v>
      </c>
      <c r="N31" s="13">
        <f t="shared" si="0"/>
        <v>220.9</v>
      </c>
    </row>
    <row r="32" spans="1:14" x14ac:dyDescent="0.25">
      <c r="A32" t="s">
        <v>10</v>
      </c>
      <c r="B32" t="s">
        <v>146</v>
      </c>
      <c r="C32" t="s">
        <v>12</v>
      </c>
      <c r="D32" t="s">
        <v>147</v>
      </c>
      <c r="E32" t="s">
        <v>148</v>
      </c>
      <c r="F32" t="s">
        <v>149</v>
      </c>
      <c r="G32" s="2">
        <v>50000</v>
      </c>
      <c r="H32" t="s">
        <v>150</v>
      </c>
      <c r="I32">
        <f t="shared" si="1"/>
        <v>7</v>
      </c>
      <c r="J32">
        <v>7.21</v>
      </c>
      <c r="K32">
        <v>18</v>
      </c>
      <c r="L32" t="str">
        <f>CONCATENATE('Fixed Deposit'!C32," ",'Fixed Deposit'!K32)</f>
        <v>Shriram Finance 18</v>
      </c>
      <c r="M32" s="12">
        <f>VLOOKUP(L32,'Commercials '!$C$1:$D$15,2,)</f>
        <v>2.5999999999999999E-3</v>
      </c>
      <c r="N32" s="13">
        <f t="shared" si="0"/>
        <v>130</v>
      </c>
    </row>
    <row r="33" spans="1:14" x14ac:dyDescent="0.25">
      <c r="A33" t="s">
        <v>10</v>
      </c>
      <c r="B33" t="s">
        <v>151</v>
      </c>
      <c r="C33" t="s">
        <v>12</v>
      </c>
      <c r="D33" t="s">
        <v>152</v>
      </c>
      <c r="E33" t="s">
        <v>153</v>
      </c>
      <c r="F33" t="s">
        <v>154</v>
      </c>
      <c r="G33" s="2">
        <v>5000</v>
      </c>
      <c r="H33" t="s">
        <v>150</v>
      </c>
      <c r="I33">
        <f t="shared" si="1"/>
        <v>7</v>
      </c>
      <c r="J33">
        <v>7.11</v>
      </c>
      <c r="K33">
        <v>12</v>
      </c>
      <c r="L33" t="str">
        <f>CONCATENATE('Fixed Deposit'!C33," ",'Fixed Deposit'!K33)</f>
        <v>Shriram Finance 12</v>
      </c>
      <c r="M33" s="12">
        <f>VLOOKUP(L33,'Commercials '!$C$1:$D$15,2,)</f>
        <v>2.5999999999999999E-3</v>
      </c>
      <c r="N33" s="13">
        <f t="shared" si="0"/>
        <v>13</v>
      </c>
    </row>
    <row r="34" spans="1:14" x14ac:dyDescent="0.25">
      <c r="A34" t="s">
        <v>10</v>
      </c>
      <c r="B34" t="s">
        <v>155</v>
      </c>
      <c r="C34" t="s">
        <v>12</v>
      </c>
      <c r="D34" t="s">
        <v>156</v>
      </c>
      <c r="E34" t="s">
        <v>157</v>
      </c>
      <c r="F34" t="s">
        <v>158</v>
      </c>
      <c r="G34" s="2">
        <v>391000</v>
      </c>
      <c r="H34" t="s">
        <v>159</v>
      </c>
      <c r="I34">
        <f t="shared" si="1"/>
        <v>7</v>
      </c>
      <c r="J34">
        <v>7.77</v>
      </c>
      <c r="K34">
        <v>36</v>
      </c>
      <c r="L34" t="str">
        <f>CONCATENATE('Fixed Deposit'!C34," ",'Fixed Deposit'!K34)</f>
        <v>Shriram Finance 36</v>
      </c>
      <c r="M34" s="12">
        <f>VLOOKUP(L34,'Commercials '!$C$1:$D$15,2,)</f>
        <v>1.0200000000000001E-2</v>
      </c>
      <c r="N34" s="13">
        <f t="shared" si="0"/>
        <v>3988.2000000000003</v>
      </c>
    </row>
    <row r="35" spans="1:14" x14ac:dyDescent="0.25">
      <c r="A35" t="s">
        <v>10</v>
      </c>
      <c r="B35" t="s">
        <v>39</v>
      </c>
      <c r="C35" t="s">
        <v>12</v>
      </c>
      <c r="D35" t="s">
        <v>160</v>
      </c>
      <c r="E35" t="s">
        <v>161</v>
      </c>
      <c r="F35" t="s">
        <v>42</v>
      </c>
      <c r="G35" s="2">
        <v>5000</v>
      </c>
      <c r="H35" t="s">
        <v>162</v>
      </c>
      <c r="I35">
        <f t="shared" si="1"/>
        <v>7</v>
      </c>
      <c r="J35">
        <v>7.16</v>
      </c>
      <c r="K35">
        <v>12</v>
      </c>
      <c r="L35" t="str">
        <f>CONCATENATE('Fixed Deposit'!C35," ",'Fixed Deposit'!K35)</f>
        <v>Shriram Finance 12</v>
      </c>
      <c r="M35" s="12">
        <f>VLOOKUP(L35,'Commercials '!$C$1:$D$15,2,)</f>
        <v>2.5999999999999999E-3</v>
      </c>
      <c r="N35" s="13">
        <f t="shared" si="0"/>
        <v>13</v>
      </c>
    </row>
    <row r="36" spans="1:14" x14ac:dyDescent="0.25">
      <c r="A36" t="s">
        <v>10</v>
      </c>
      <c r="B36" t="s">
        <v>163</v>
      </c>
      <c r="C36" t="s">
        <v>12</v>
      </c>
      <c r="D36" t="s">
        <v>164</v>
      </c>
      <c r="E36" t="s">
        <v>165</v>
      </c>
      <c r="F36" t="s">
        <v>166</v>
      </c>
      <c r="G36" s="2">
        <v>5000</v>
      </c>
      <c r="H36" t="s">
        <v>162</v>
      </c>
      <c r="I36">
        <f t="shared" si="1"/>
        <v>7</v>
      </c>
      <c r="J36">
        <v>7.72</v>
      </c>
      <c r="K36">
        <v>60</v>
      </c>
      <c r="L36" t="str">
        <f>CONCATENATE('Fixed Deposit'!C36," ",'Fixed Deposit'!K36)</f>
        <v>Shriram Finance 60</v>
      </c>
      <c r="M36" s="12">
        <f>VLOOKUP(L36,'Commercials '!$C$1:$D$15,2,)</f>
        <v>1.1900000000000001E-2</v>
      </c>
      <c r="N36" s="13">
        <f t="shared" si="0"/>
        <v>59.500000000000007</v>
      </c>
    </row>
    <row r="37" spans="1:14" x14ac:dyDescent="0.25">
      <c r="A37" t="s">
        <v>10</v>
      </c>
      <c r="B37" t="s">
        <v>131</v>
      </c>
      <c r="C37" t="s">
        <v>12</v>
      </c>
      <c r="D37" t="s">
        <v>167</v>
      </c>
      <c r="E37" t="s">
        <v>168</v>
      </c>
      <c r="F37" t="s">
        <v>134</v>
      </c>
      <c r="G37" s="2">
        <v>25000</v>
      </c>
      <c r="H37" t="s">
        <v>162</v>
      </c>
      <c r="I37">
        <f t="shared" si="1"/>
        <v>7</v>
      </c>
      <c r="J37">
        <v>7.11</v>
      </c>
      <c r="K37">
        <v>12</v>
      </c>
      <c r="L37" t="str">
        <f>CONCATENATE('Fixed Deposit'!C37," ",'Fixed Deposit'!K37)</f>
        <v>Shriram Finance 12</v>
      </c>
      <c r="M37" s="12">
        <f>VLOOKUP(L37,'Commercials '!$C$1:$D$15,2,)</f>
        <v>2.5999999999999999E-3</v>
      </c>
      <c r="N37" s="13">
        <f t="shared" si="0"/>
        <v>65</v>
      </c>
    </row>
    <row r="38" spans="1:14" x14ac:dyDescent="0.25">
      <c r="A38" t="s">
        <v>10</v>
      </c>
      <c r="B38" t="s">
        <v>169</v>
      </c>
      <c r="C38" t="s">
        <v>12</v>
      </c>
      <c r="D38" t="s">
        <v>170</v>
      </c>
      <c r="E38" t="s">
        <v>171</v>
      </c>
      <c r="F38" t="s">
        <v>172</v>
      </c>
      <c r="G38" s="2">
        <v>150000</v>
      </c>
      <c r="H38" t="s">
        <v>173</v>
      </c>
      <c r="I38">
        <f t="shared" si="1"/>
        <v>7</v>
      </c>
      <c r="J38">
        <v>7.77</v>
      </c>
      <c r="K38">
        <v>50</v>
      </c>
      <c r="L38" t="str">
        <f>CONCATENATE('Fixed Deposit'!C38," ",'Fixed Deposit'!K38)</f>
        <v>Shriram Finance 50</v>
      </c>
      <c r="M38" s="12">
        <f>VLOOKUP(L38,'Commercials '!$C$1:$D$15,2,)</f>
        <v>1.11E-2</v>
      </c>
      <c r="N38" s="13">
        <f t="shared" si="0"/>
        <v>1665</v>
      </c>
    </row>
    <row r="39" spans="1:14" x14ac:dyDescent="0.25">
      <c r="A39" t="s">
        <v>10</v>
      </c>
      <c r="B39" t="s">
        <v>44</v>
      </c>
      <c r="C39" t="s">
        <v>12</v>
      </c>
      <c r="D39" t="s">
        <v>174</v>
      </c>
      <c r="E39" t="s">
        <v>175</v>
      </c>
      <c r="F39" t="s">
        <v>47</v>
      </c>
      <c r="G39" s="2">
        <v>11000</v>
      </c>
      <c r="H39" t="s">
        <v>176</v>
      </c>
      <c r="I39">
        <f t="shared" si="1"/>
        <v>7</v>
      </c>
      <c r="J39">
        <v>7.11</v>
      </c>
      <c r="K39">
        <v>12</v>
      </c>
      <c r="L39" t="str">
        <f>CONCATENATE('Fixed Deposit'!C39," ",'Fixed Deposit'!K39)</f>
        <v>Shriram Finance 12</v>
      </c>
      <c r="M39" s="12">
        <f>VLOOKUP(L39,'Commercials '!$C$1:$D$15,2,)</f>
        <v>2.5999999999999999E-3</v>
      </c>
      <c r="N39" s="13">
        <f t="shared" si="0"/>
        <v>28.599999999999998</v>
      </c>
    </row>
    <row r="40" spans="1:14" x14ac:dyDescent="0.25">
      <c r="A40" t="s">
        <v>10</v>
      </c>
      <c r="B40" t="s">
        <v>177</v>
      </c>
      <c r="C40" t="s">
        <v>12</v>
      </c>
      <c r="D40" t="s">
        <v>178</v>
      </c>
      <c r="E40" t="s">
        <v>179</v>
      </c>
      <c r="F40" t="s">
        <v>180</v>
      </c>
      <c r="G40" s="2">
        <v>5000</v>
      </c>
      <c r="H40" t="s">
        <v>176</v>
      </c>
      <c r="I40">
        <f t="shared" si="1"/>
        <v>7</v>
      </c>
      <c r="J40">
        <v>7.72</v>
      </c>
      <c r="K40">
        <v>36</v>
      </c>
      <c r="L40" t="str">
        <f>CONCATENATE('Fixed Deposit'!C40," ",'Fixed Deposit'!K40)</f>
        <v>Shriram Finance 36</v>
      </c>
      <c r="M40" s="12">
        <f>VLOOKUP(L40,'Commercials '!$C$1:$D$15,2,)</f>
        <v>1.0200000000000001E-2</v>
      </c>
      <c r="N40" s="13">
        <f t="shared" si="0"/>
        <v>51.000000000000007</v>
      </c>
    </row>
    <row r="41" spans="1:14" x14ac:dyDescent="0.25">
      <c r="A41" t="s">
        <v>10</v>
      </c>
      <c r="B41" t="s">
        <v>181</v>
      </c>
      <c r="C41" t="s">
        <v>12</v>
      </c>
      <c r="D41" t="s">
        <v>182</v>
      </c>
      <c r="E41" t="s">
        <v>183</v>
      </c>
      <c r="F41" t="s">
        <v>184</v>
      </c>
      <c r="G41" s="2">
        <v>10000</v>
      </c>
      <c r="H41" t="s">
        <v>185</v>
      </c>
      <c r="I41">
        <f t="shared" si="1"/>
        <v>6</v>
      </c>
      <c r="J41">
        <v>7.72</v>
      </c>
      <c r="K41">
        <v>36</v>
      </c>
      <c r="L41" t="str">
        <f>CONCATENATE('Fixed Deposit'!C41," ",'Fixed Deposit'!K41)</f>
        <v>Shriram Finance 36</v>
      </c>
      <c r="M41" s="12">
        <f>VLOOKUP(L41,'Commercials '!$C$1:$D$15,2,)</f>
        <v>1.0200000000000001E-2</v>
      </c>
      <c r="N41" s="13">
        <f t="shared" si="0"/>
        <v>102.00000000000001</v>
      </c>
    </row>
    <row r="42" spans="1:14" x14ac:dyDescent="0.25">
      <c r="A42" t="s">
        <v>10</v>
      </c>
      <c r="B42" t="s">
        <v>186</v>
      </c>
      <c r="C42" t="s">
        <v>12</v>
      </c>
      <c r="D42" t="s">
        <v>187</v>
      </c>
      <c r="E42" t="s">
        <v>188</v>
      </c>
      <c r="F42" t="s">
        <v>189</v>
      </c>
      <c r="G42" s="2">
        <v>90000</v>
      </c>
      <c r="H42" t="s">
        <v>185</v>
      </c>
      <c r="I42">
        <f t="shared" si="1"/>
        <v>6</v>
      </c>
      <c r="J42">
        <v>8</v>
      </c>
      <c r="K42">
        <v>50</v>
      </c>
      <c r="L42" t="str">
        <f>CONCATENATE('Fixed Deposit'!C42," ",'Fixed Deposit'!K42)</f>
        <v>Shriram Finance 50</v>
      </c>
      <c r="M42" s="12">
        <f>VLOOKUP(L42,'Commercials '!$C$1:$D$15,2,)</f>
        <v>1.11E-2</v>
      </c>
      <c r="N42" s="13">
        <f t="shared" si="0"/>
        <v>999</v>
      </c>
    </row>
    <row r="43" spans="1:14" x14ac:dyDescent="0.25">
      <c r="A43" t="s">
        <v>10</v>
      </c>
      <c r="B43" t="s">
        <v>97</v>
      </c>
      <c r="C43" t="s">
        <v>12</v>
      </c>
      <c r="D43" t="s">
        <v>190</v>
      </c>
      <c r="E43" t="s">
        <v>191</v>
      </c>
      <c r="F43" t="s">
        <v>100</v>
      </c>
      <c r="G43" s="2">
        <v>10000</v>
      </c>
      <c r="H43" t="s">
        <v>192</v>
      </c>
      <c r="I43">
        <f t="shared" si="1"/>
        <v>6</v>
      </c>
      <c r="J43">
        <v>7.11</v>
      </c>
      <c r="K43">
        <v>12</v>
      </c>
      <c r="L43" t="str">
        <f>CONCATENATE('Fixed Deposit'!C43," ",'Fixed Deposit'!K43)</f>
        <v>Shriram Finance 12</v>
      </c>
      <c r="M43" s="12">
        <f>VLOOKUP(L43,'Commercials '!$C$1:$D$15,2,)</f>
        <v>2.5999999999999999E-3</v>
      </c>
      <c r="N43" s="13">
        <f t="shared" si="0"/>
        <v>26</v>
      </c>
    </row>
    <row r="44" spans="1:14" x14ac:dyDescent="0.25">
      <c r="A44" t="s">
        <v>10</v>
      </c>
      <c r="B44" t="s">
        <v>193</v>
      </c>
      <c r="C44" t="s">
        <v>12</v>
      </c>
      <c r="D44" t="s">
        <v>194</v>
      </c>
      <c r="E44" t="s">
        <v>195</v>
      </c>
      <c r="F44" t="s">
        <v>196</v>
      </c>
      <c r="G44" s="2">
        <v>10000</v>
      </c>
      <c r="H44" t="s">
        <v>197</v>
      </c>
      <c r="I44">
        <f t="shared" si="1"/>
        <v>6</v>
      </c>
      <c r="J44">
        <v>7.72</v>
      </c>
      <c r="K44">
        <v>36</v>
      </c>
      <c r="L44" t="str">
        <f>CONCATENATE('Fixed Deposit'!C44," ",'Fixed Deposit'!K44)</f>
        <v>Shriram Finance 36</v>
      </c>
      <c r="M44" s="12">
        <f>VLOOKUP(L44,'Commercials '!$C$1:$D$15,2,)</f>
        <v>1.0200000000000001E-2</v>
      </c>
      <c r="N44" s="13">
        <f t="shared" si="0"/>
        <v>102.00000000000001</v>
      </c>
    </row>
    <row r="45" spans="1:14" x14ac:dyDescent="0.25">
      <c r="A45" t="s">
        <v>10</v>
      </c>
      <c r="B45" t="s">
        <v>198</v>
      </c>
      <c r="C45" t="s">
        <v>12</v>
      </c>
      <c r="D45" t="s">
        <v>199</v>
      </c>
      <c r="E45" t="s">
        <v>200</v>
      </c>
      <c r="F45" t="s">
        <v>201</v>
      </c>
      <c r="G45" s="2">
        <v>5000</v>
      </c>
      <c r="H45" t="s">
        <v>202</v>
      </c>
      <c r="I45">
        <f t="shared" si="1"/>
        <v>6</v>
      </c>
      <c r="J45">
        <v>7.53</v>
      </c>
      <c r="K45">
        <v>18</v>
      </c>
      <c r="L45" t="str">
        <f>CONCATENATE('Fixed Deposit'!C45," ",'Fixed Deposit'!K45)</f>
        <v>Shriram Finance 18</v>
      </c>
      <c r="M45" s="12">
        <f>VLOOKUP(L45,'Commercials '!$C$1:$D$15,2,)</f>
        <v>2.5999999999999999E-3</v>
      </c>
      <c r="N45" s="13">
        <f t="shared" si="0"/>
        <v>13</v>
      </c>
    </row>
    <row r="46" spans="1:14" x14ac:dyDescent="0.25">
      <c r="A46" t="s">
        <v>10</v>
      </c>
      <c r="B46" t="s">
        <v>97</v>
      </c>
      <c r="C46" t="s">
        <v>12</v>
      </c>
      <c r="D46" t="s">
        <v>203</v>
      </c>
      <c r="E46" t="s">
        <v>204</v>
      </c>
      <c r="F46" t="s">
        <v>100</v>
      </c>
      <c r="G46" s="2">
        <v>5000</v>
      </c>
      <c r="H46" t="s">
        <v>205</v>
      </c>
      <c r="I46">
        <f t="shared" si="1"/>
        <v>6</v>
      </c>
      <c r="J46">
        <v>7.39</v>
      </c>
      <c r="K46">
        <v>12</v>
      </c>
      <c r="L46" t="str">
        <f>CONCATENATE('Fixed Deposit'!C46," ",'Fixed Deposit'!K46)</f>
        <v>Shriram Finance 12</v>
      </c>
      <c r="M46" s="12">
        <f>VLOOKUP(L46,'Commercials '!$C$1:$D$15,2,)</f>
        <v>2.5999999999999999E-3</v>
      </c>
      <c r="N46" s="13">
        <f t="shared" si="0"/>
        <v>13</v>
      </c>
    </row>
    <row r="47" spans="1:14" x14ac:dyDescent="0.25">
      <c r="A47" t="s">
        <v>10</v>
      </c>
      <c r="B47" t="s">
        <v>206</v>
      </c>
      <c r="C47" t="s">
        <v>12</v>
      </c>
      <c r="D47" t="s">
        <v>207</v>
      </c>
      <c r="E47" t="s">
        <v>208</v>
      </c>
      <c r="F47" t="s">
        <v>209</v>
      </c>
      <c r="G47" s="2">
        <v>12000</v>
      </c>
      <c r="H47" t="s">
        <v>210</v>
      </c>
      <c r="I47">
        <f t="shared" si="1"/>
        <v>6</v>
      </c>
      <c r="J47">
        <v>8.09</v>
      </c>
      <c r="K47">
        <v>50</v>
      </c>
      <c r="L47" t="str">
        <f>CONCATENATE('Fixed Deposit'!C47," ",'Fixed Deposit'!K47)</f>
        <v>Shriram Finance 50</v>
      </c>
      <c r="M47" s="12">
        <f>VLOOKUP(L47,'Commercials '!$C$1:$D$15,2,)</f>
        <v>1.11E-2</v>
      </c>
      <c r="N47" s="13">
        <f t="shared" si="0"/>
        <v>133.20000000000002</v>
      </c>
    </row>
    <row r="48" spans="1:14" x14ac:dyDescent="0.25">
      <c r="A48" t="s">
        <v>10</v>
      </c>
      <c r="B48" t="s">
        <v>211</v>
      </c>
      <c r="C48" t="s">
        <v>12</v>
      </c>
      <c r="D48" t="s">
        <v>212</v>
      </c>
      <c r="E48" t="s">
        <v>213</v>
      </c>
      <c r="F48" t="s">
        <v>214</v>
      </c>
      <c r="G48" s="2">
        <v>10000</v>
      </c>
      <c r="H48" t="s">
        <v>210</v>
      </c>
      <c r="I48">
        <f t="shared" si="1"/>
        <v>6</v>
      </c>
      <c r="J48">
        <v>8.09</v>
      </c>
      <c r="K48">
        <v>50</v>
      </c>
      <c r="L48" t="str">
        <f>CONCATENATE('Fixed Deposit'!C48," ",'Fixed Deposit'!K48)</f>
        <v>Shriram Finance 50</v>
      </c>
      <c r="M48" s="12">
        <f>VLOOKUP(L48,'Commercials '!$C$1:$D$15,2,)</f>
        <v>1.11E-2</v>
      </c>
      <c r="N48" s="13">
        <f t="shared" si="0"/>
        <v>111</v>
      </c>
    </row>
    <row r="49" spans="1:14" x14ac:dyDescent="0.25">
      <c r="A49" t="s">
        <v>10</v>
      </c>
      <c r="B49" t="s">
        <v>215</v>
      </c>
      <c r="C49" t="s">
        <v>12</v>
      </c>
      <c r="D49" t="s">
        <v>216</v>
      </c>
      <c r="E49" t="s">
        <v>217</v>
      </c>
      <c r="F49" t="s">
        <v>218</v>
      </c>
      <c r="G49" s="2">
        <v>200000</v>
      </c>
      <c r="H49" t="s">
        <v>210</v>
      </c>
      <c r="I49">
        <f t="shared" si="1"/>
        <v>6</v>
      </c>
      <c r="J49">
        <v>8.09</v>
      </c>
      <c r="K49">
        <v>36</v>
      </c>
      <c r="L49" t="str">
        <f>CONCATENATE('Fixed Deposit'!C49," ",'Fixed Deposit'!K49)</f>
        <v>Shriram Finance 36</v>
      </c>
      <c r="M49" s="12">
        <f>VLOOKUP(L49,'Commercials '!$C$1:$D$15,2,)</f>
        <v>1.0200000000000001E-2</v>
      </c>
      <c r="N49" s="13">
        <f t="shared" si="0"/>
        <v>2040.0000000000002</v>
      </c>
    </row>
    <row r="50" spans="1:14" x14ac:dyDescent="0.25">
      <c r="A50" t="s">
        <v>10</v>
      </c>
      <c r="B50" t="s">
        <v>97</v>
      </c>
      <c r="C50" t="s">
        <v>12</v>
      </c>
      <c r="D50" t="s">
        <v>219</v>
      </c>
      <c r="E50" t="s">
        <v>220</v>
      </c>
      <c r="F50" t="s">
        <v>100</v>
      </c>
      <c r="G50" s="2">
        <v>10000</v>
      </c>
      <c r="H50" t="s">
        <v>221</v>
      </c>
      <c r="I50">
        <f t="shared" si="1"/>
        <v>6</v>
      </c>
      <c r="J50">
        <v>7.39</v>
      </c>
      <c r="K50">
        <v>12</v>
      </c>
      <c r="L50" t="str">
        <f>CONCATENATE('Fixed Deposit'!C50," ",'Fixed Deposit'!K50)</f>
        <v>Shriram Finance 12</v>
      </c>
      <c r="M50" s="12">
        <f>VLOOKUP(L50,'Commercials '!$C$1:$D$15,2,)</f>
        <v>2.5999999999999999E-3</v>
      </c>
      <c r="N50" s="13">
        <f t="shared" si="0"/>
        <v>26</v>
      </c>
    </row>
    <row r="51" spans="1:14" x14ac:dyDescent="0.25">
      <c r="A51" t="s">
        <v>10</v>
      </c>
      <c r="B51" t="s">
        <v>222</v>
      </c>
      <c r="C51" t="s">
        <v>12</v>
      </c>
      <c r="D51" t="s">
        <v>223</v>
      </c>
      <c r="E51" t="s">
        <v>224</v>
      </c>
      <c r="F51" t="s">
        <v>225</v>
      </c>
      <c r="G51" s="2">
        <v>10000</v>
      </c>
      <c r="H51" t="s">
        <v>221</v>
      </c>
      <c r="I51">
        <f t="shared" si="1"/>
        <v>6</v>
      </c>
      <c r="J51">
        <v>8.09</v>
      </c>
      <c r="K51">
        <v>36</v>
      </c>
      <c r="L51" t="str">
        <f>CONCATENATE('Fixed Deposit'!C51," ",'Fixed Deposit'!K51)</f>
        <v>Shriram Finance 36</v>
      </c>
      <c r="M51" s="12">
        <f>VLOOKUP(L51,'Commercials '!$C$1:$D$15,2,)</f>
        <v>1.0200000000000001E-2</v>
      </c>
      <c r="N51" s="13">
        <f t="shared" si="0"/>
        <v>102.00000000000001</v>
      </c>
    </row>
    <row r="52" spans="1:14" x14ac:dyDescent="0.25">
      <c r="A52" t="s">
        <v>10</v>
      </c>
      <c r="B52" t="s">
        <v>222</v>
      </c>
      <c r="C52" t="s">
        <v>12</v>
      </c>
      <c r="D52" t="s">
        <v>226</v>
      </c>
      <c r="E52" t="s">
        <v>227</v>
      </c>
      <c r="F52" t="s">
        <v>225</v>
      </c>
      <c r="G52" s="2">
        <v>10000</v>
      </c>
      <c r="H52" t="s">
        <v>221</v>
      </c>
      <c r="I52">
        <f t="shared" si="1"/>
        <v>6</v>
      </c>
      <c r="J52">
        <v>8.09</v>
      </c>
      <c r="K52">
        <v>36</v>
      </c>
      <c r="L52" t="str">
        <f>CONCATENATE('Fixed Deposit'!C52," ",'Fixed Deposit'!K52)</f>
        <v>Shriram Finance 36</v>
      </c>
      <c r="M52" s="12">
        <f>VLOOKUP(L52,'Commercials '!$C$1:$D$15,2,)</f>
        <v>1.0200000000000001E-2</v>
      </c>
      <c r="N52" s="13">
        <f t="shared" si="0"/>
        <v>102.00000000000001</v>
      </c>
    </row>
    <row r="53" spans="1:14" x14ac:dyDescent="0.25">
      <c r="A53" t="s">
        <v>10</v>
      </c>
      <c r="B53" t="s">
        <v>228</v>
      </c>
      <c r="C53" t="s">
        <v>12</v>
      </c>
      <c r="D53" t="s">
        <v>229</v>
      </c>
      <c r="E53" t="s">
        <v>230</v>
      </c>
      <c r="F53" t="s">
        <v>231</v>
      </c>
      <c r="G53" s="2">
        <v>5000</v>
      </c>
      <c r="H53" t="s">
        <v>232</v>
      </c>
      <c r="I53">
        <f t="shared" si="1"/>
        <v>6</v>
      </c>
      <c r="J53">
        <v>7.39</v>
      </c>
      <c r="K53">
        <v>12</v>
      </c>
      <c r="L53" t="str">
        <f>CONCATENATE('Fixed Deposit'!C53," ",'Fixed Deposit'!K53)</f>
        <v>Shriram Finance 12</v>
      </c>
      <c r="M53" s="12">
        <f>VLOOKUP(L53,'Commercials '!$C$1:$D$15,2,)</f>
        <v>2.5999999999999999E-3</v>
      </c>
      <c r="N53" s="13">
        <f t="shared" si="0"/>
        <v>13</v>
      </c>
    </row>
    <row r="54" spans="1:14" x14ac:dyDescent="0.25">
      <c r="A54" t="s">
        <v>10</v>
      </c>
      <c r="B54" t="s">
        <v>233</v>
      </c>
      <c r="C54" t="s">
        <v>12</v>
      </c>
      <c r="D54" t="s">
        <v>234</v>
      </c>
      <c r="E54" t="s">
        <v>235</v>
      </c>
      <c r="F54" t="s">
        <v>236</v>
      </c>
      <c r="G54" s="2">
        <v>7000</v>
      </c>
      <c r="H54" t="s">
        <v>237</v>
      </c>
      <c r="I54">
        <f t="shared" si="1"/>
        <v>6</v>
      </c>
      <c r="J54">
        <v>7.39</v>
      </c>
      <c r="K54">
        <v>12</v>
      </c>
      <c r="L54" t="str">
        <f>CONCATENATE('Fixed Deposit'!C54," ",'Fixed Deposit'!K54)</f>
        <v>Shriram Finance 12</v>
      </c>
      <c r="M54" s="12">
        <f>VLOOKUP(L54,'Commercials '!$C$1:$D$15,2,)</f>
        <v>2.5999999999999999E-3</v>
      </c>
      <c r="N54" s="13">
        <f t="shared" si="0"/>
        <v>18.2</v>
      </c>
    </row>
    <row r="55" spans="1:14" x14ac:dyDescent="0.25">
      <c r="A55" t="s">
        <v>10</v>
      </c>
      <c r="B55" t="s">
        <v>238</v>
      </c>
      <c r="C55" t="s">
        <v>12</v>
      </c>
      <c r="D55" t="s">
        <v>239</v>
      </c>
      <c r="E55" t="s">
        <v>240</v>
      </c>
      <c r="F55" t="s">
        <v>241</v>
      </c>
      <c r="G55" s="2">
        <v>25000</v>
      </c>
      <c r="H55" t="s">
        <v>242</v>
      </c>
      <c r="I55">
        <f t="shared" si="1"/>
        <v>6</v>
      </c>
      <c r="J55">
        <v>8.09</v>
      </c>
      <c r="K55">
        <v>36</v>
      </c>
      <c r="L55" t="str">
        <f>CONCATENATE('Fixed Deposit'!C55," ",'Fixed Deposit'!K55)</f>
        <v>Shriram Finance 36</v>
      </c>
      <c r="M55" s="12">
        <f>VLOOKUP(L55,'Commercials '!$C$1:$D$15,2,)</f>
        <v>1.0200000000000001E-2</v>
      </c>
      <c r="N55" s="13">
        <f t="shared" si="0"/>
        <v>255.00000000000003</v>
      </c>
    </row>
    <row r="56" spans="1:14" x14ac:dyDescent="0.25">
      <c r="A56" t="s">
        <v>10</v>
      </c>
      <c r="B56" t="s">
        <v>243</v>
      </c>
      <c r="C56" t="s">
        <v>12</v>
      </c>
      <c r="D56" t="s">
        <v>244</v>
      </c>
      <c r="E56" t="s">
        <v>245</v>
      </c>
      <c r="F56" t="s">
        <v>246</v>
      </c>
      <c r="G56" s="2">
        <v>10000</v>
      </c>
      <c r="H56" t="s">
        <v>247</v>
      </c>
      <c r="I56">
        <f t="shared" si="1"/>
        <v>6</v>
      </c>
      <c r="J56">
        <v>8.09</v>
      </c>
      <c r="K56">
        <v>36</v>
      </c>
      <c r="L56" t="str">
        <f>CONCATENATE('Fixed Deposit'!C56," ",'Fixed Deposit'!K56)</f>
        <v>Shriram Finance 36</v>
      </c>
      <c r="M56" s="12">
        <f>VLOOKUP(L56,'Commercials '!$C$1:$D$15,2,)</f>
        <v>1.0200000000000001E-2</v>
      </c>
      <c r="N56" s="13">
        <f t="shared" si="0"/>
        <v>102.00000000000001</v>
      </c>
    </row>
    <row r="57" spans="1:14" x14ac:dyDescent="0.25">
      <c r="A57" t="s">
        <v>10</v>
      </c>
      <c r="B57" t="s">
        <v>248</v>
      </c>
      <c r="C57" t="s">
        <v>12</v>
      </c>
      <c r="D57" t="s">
        <v>249</v>
      </c>
      <c r="E57" t="s">
        <v>250</v>
      </c>
      <c r="F57" t="s">
        <v>251</v>
      </c>
      <c r="G57" s="2">
        <v>100000</v>
      </c>
      <c r="H57" t="s">
        <v>247</v>
      </c>
      <c r="I57">
        <f t="shared" si="1"/>
        <v>6</v>
      </c>
      <c r="J57">
        <v>7.49</v>
      </c>
      <c r="K57">
        <v>12</v>
      </c>
      <c r="L57" t="str">
        <f>CONCATENATE('Fixed Deposit'!C57," ",'Fixed Deposit'!K57)</f>
        <v>Shriram Finance 12</v>
      </c>
      <c r="M57" s="12">
        <f>VLOOKUP(L57,'Commercials '!$C$1:$D$15,2,)</f>
        <v>2.5999999999999999E-3</v>
      </c>
      <c r="N57" s="13">
        <f t="shared" si="0"/>
        <v>260</v>
      </c>
    </row>
    <row r="58" spans="1:14" x14ac:dyDescent="0.25">
      <c r="A58" t="s">
        <v>10</v>
      </c>
      <c r="B58" t="s">
        <v>248</v>
      </c>
      <c r="C58" t="s">
        <v>12</v>
      </c>
      <c r="D58" t="s">
        <v>252</v>
      </c>
      <c r="E58" t="s">
        <v>253</v>
      </c>
      <c r="F58" t="s">
        <v>251</v>
      </c>
      <c r="G58" s="2">
        <v>100000</v>
      </c>
      <c r="H58" t="s">
        <v>247</v>
      </c>
      <c r="I58">
        <f t="shared" si="1"/>
        <v>6</v>
      </c>
      <c r="J58">
        <v>7.72</v>
      </c>
      <c r="K58">
        <v>24</v>
      </c>
      <c r="L58" t="str">
        <f>CONCATENATE('Fixed Deposit'!C58," ",'Fixed Deposit'!K58)</f>
        <v>Shriram Finance 24</v>
      </c>
      <c r="M58" s="12">
        <f>VLOOKUP(L58,'Commercials '!$C$1:$D$15,2,)</f>
        <v>5.1000000000000004E-3</v>
      </c>
      <c r="N58" s="13">
        <f t="shared" si="0"/>
        <v>510.00000000000006</v>
      </c>
    </row>
    <row r="59" spans="1:14" x14ac:dyDescent="0.25">
      <c r="A59" t="s">
        <v>10</v>
      </c>
      <c r="B59" t="s">
        <v>131</v>
      </c>
      <c r="C59" t="s">
        <v>12</v>
      </c>
      <c r="D59" t="s">
        <v>254</v>
      </c>
      <c r="E59" t="s">
        <v>255</v>
      </c>
      <c r="F59" t="s">
        <v>134</v>
      </c>
      <c r="G59" s="2">
        <v>20000</v>
      </c>
      <c r="H59" t="s">
        <v>256</v>
      </c>
      <c r="I59">
        <f t="shared" si="1"/>
        <v>6</v>
      </c>
      <c r="J59">
        <v>7.39</v>
      </c>
      <c r="K59">
        <v>12</v>
      </c>
      <c r="L59" t="str">
        <f>CONCATENATE('Fixed Deposit'!C59," ",'Fixed Deposit'!K59)</f>
        <v>Shriram Finance 12</v>
      </c>
      <c r="M59" s="12">
        <f>VLOOKUP(L59,'Commercials '!$C$1:$D$15,2,)</f>
        <v>2.5999999999999999E-3</v>
      </c>
      <c r="N59" s="13">
        <f t="shared" si="0"/>
        <v>52</v>
      </c>
    </row>
    <row r="60" spans="1:14" x14ac:dyDescent="0.25">
      <c r="A60" t="s">
        <v>10</v>
      </c>
      <c r="B60" t="s">
        <v>163</v>
      </c>
      <c r="C60" t="s">
        <v>12</v>
      </c>
      <c r="D60" t="s">
        <v>257</v>
      </c>
      <c r="E60" t="s">
        <v>258</v>
      </c>
      <c r="F60" t="s">
        <v>166</v>
      </c>
      <c r="G60" s="2">
        <v>12000</v>
      </c>
      <c r="H60" t="s">
        <v>256</v>
      </c>
      <c r="I60">
        <f t="shared" si="1"/>
        <v>6</v>
      </c>
      <c r="J60">
        <v>8.4</v>
      </c>
      <c r="K60">
        <v>60</v>
      </c>
      <c r="L60" t="str">
        <f>CONCATENATE('Fixed Deposit'!C60," ",'Fixed Deposit'!K60)</f>
        <v>Shriram Finance 60</v>
      </c>
      <c r="M60" s="12">
        <f>VLOOKUP(L60,'Commercials '!$C$1:$D$15,2,)</f>
        <v>1.1900000000000001E-2</v>
      </c>
      <c r="N60" s="13">
        <f t="shared" si="0"/>
        <v>142.80000000000001</v>
      </c>
    </row>
    <row r="61" spans="1:14" x14ac:dyDescent="0.25">
      <c r="A61" t="s">
        <v>10</v>
      </c>
      <c r="B61" t="s">
        <v>163</v>
      </c>
      <c r="C61" t="s">
        <v>12</v>
      </c>
      <c r="D61" t="s">
        <v>259</v>
      </c>
      <c r="E61" t="s">
        <v>260</v>
      </c>
      <c r="F61" t="s">
        <v>166</v>
      </c>
      <c r="G61" s="2">
        <v>10000</v>
      </c>
      <c r="H61" t="s">
        <v>256</v>
      </c>
      <c r="I61">
        <f t="shared" si="1"/>
        <v>6</v>
      </c>
      <c r="J61">
        <v>8.4</v>
      </c>
      <c r="K61">
        <v>60</v>
      </c>
      <c r="L61" t="str">
        <f>CONCATENATE('Fixed Deposit'!C61," ",'Fixed Deposit'!K61)</f>
        <v>Shriram Finance 60</v>
      </c>
      <c r="M61" s="12">
        <f>VLOOKUP(L61,'Commercials '!$C$1:$D$15,2,)</f>
        <v>1.1900000000000001E-2</v>
      </c>
      <c r="N61" s="13">
        <f t="shared" si="0"/>
        <v>119.00000000000001</v>
      </c>
    </row>
    <row r="62" spans="1:14" x14ac:dyDescent="0.25">
      <c r="A62" t="s">
        <v>10</v>
      </c>
      <c r="B62" t="s">
        <v>261</v>
      </c>
      <c r="C62" t="s">
        <v>12</v>
      </c>
      <c r="D62" t="s">
        <v>262</v>
      </c>
      <c r="E62" t="s">
        <v>263</v>
      </c>
      <c r="F62" t="s">
        <v>264</v>
      </c>
      <c r="G62" s="2">
        <v>50000</v>
      </c>
      <c r="H62" t="s">
        <v>256</v>
      </c>
      <c r="I62">
        <f t="shared" si="1"/>
        <v>6</v>
      </c>
      <c r="J62">
        <v>7.53</v>
      </c>
      <c r="K62">
        <v>18</v>
      </c>
      <c r="L62" t="str">
        <f>CONCATENATE('Fixed Deposit'!C62," ",'Fixed Deposit'!K62)</f>
        <v>Shriram Finance 18</v>
      </c>
      <c r="M62" s="12">
        <f>VLOOKUP(L62,'Commercials '!$C$1:$D$15,2,)</f>
        <v>2.5999999999999999E-3</v>
      </c>
      <c r="N62" s="13">
        <f t="shared" si="0"/>
        <v>130</v>
      </c>
    </row>
    <row r="63" spans="1:14" x14ac:dyDescent="0.25">
      <c r="A63" t="s">
        <v>10</v>
      </c>
      <c r="B63" t="s">
        <v>265</v>
      </c>
      <c r="C63" t="s">
        <v>31</v>
      </c>
      <c r="D63" t="s">
        <v>266</v>
      </c>
      <c r="E63" t="s">
        <v>267</v>
      </c>
      <c r="F63" t="s">
        <v>268</v>
      </c>
      <c r="G63" s="2">
        <v>15000</v>
      </c>
      <c r="H63" t="s">
        <v>269</v>
      </c>
      <c r="I63">
        <f t="shared" si="1"/>
        <v>6</v>
      </c>
      <c r="J63">
        <v>7.4</v>
      </c>
      <c r="K63">
        <v>18</v>
      </c>
      <c r="L63" t="str">
        <f>CONCATENATE('Fixed Deposit'!C63," ",'Fixed Deposit'!K63)</f>
        <v>Bajaj Finance Ltd 18</v>
      </c>
      <c r="M63" s="12">
        <f>VLOOKUP(L63,'Commercials '!$C$1:$D$15,2,)</f>
        <v>4.7000000000000002E-3</v>
      </c>
      <c r="N63" s="13">
        <f t="shared" si="0"/>
        <v>70.5</v>
      </c>
    </row>
    <row r="64" spans="1:14" x14ac:dyDescent="0.25">
      <c r="A64" t="s">
        <v>10</v>
      </c>
      <c r="B64" t="s">
        <v>270</v>
      </c>
      <c r="C64" t="s">
        <v>12</v>
      </c>
      <c r="D64" t="s">
        <v>271</v>
      </c>
      <c r="E64" t="s">
        <v>272</v>
      </c>
      <c r="F64" t="s">
        <v>273</v>
      </c>
      <c r="G64" s="2">
        <v>10000</v>
      </c>
      <c r="H64" t="s">
        <v>269</v>
      </c>
      <c r="I64">
        <f t="shared" si="1"/>
        <v>6</v>
      </c>
      <c r="J64">
        <v>7.39</v>
      </c>
      <c r="K64">
        <v>12</v>
      </c>
      <c r="L64" t="str">
        <f>CONCATENATE('Fixed Deposit'!C64," ",'Fixed Deposit'!K64)</f>
        <v>Shriram Finance 12</v>
      </c>
      <c r="M64" s="12">
        <f>VLOOKUP(L64,'Commercials '!$C$1:$D$15,2,)</f>
        <v>2.5999999999999999E-3</v>
      </c>
      <c r="N64" s="13">
        <f t="shared" si="0"/>
        <v>26</v>
      </c>
    </row>
    <row r="65" spans="1:14" x14ac:dyDescent="0.25">
      <c r="A65" t="s">
        <v>10</v>
      </c>
      <c r="B65" t="s">
        <v>111</v>
      </c>
      <c r="C65" t="s">
        <v>12</v>
      </c>
      <c r="D65" t="s">
        <v>274</v>
      </c>
      <c r="E65" t="s">
        <v>275</v>
      </c>
      <c r="F65" t="s">
        <v>114</v>
      </c>
      <c r="G65" s="2">
        <v>5000</v>
      </c>
      <c r="H65" t="s">
        <v>276</v>
      </c>
      <c r="I65">
        <f t="shared" si="1"/>
        <v>6</v>
      </c>
      <c r="J65">
        <v>7.49</v>
      </c>
      <c r="K65">
        <v>12</v>
      </c>
      <c r="L65" t="str">
        <f>CONCATENATE('Fixed Deposit'!C65," ",'Fixed Deposit'!K65)</f>
        <v>Shriram Finance 12</v>
      </c>
      <c r="M65" s="12">
        <f>VLOOKUP(L65,'Commercials '!$C$1:$D$15,2,)</f>
        <v>2.5999999999999999E-3</v>
      </c>
      <c r="N65" s="13">
        <f t="shared" si="0"/>
        <v>13</v>
      </c>
    </row>
    <row r="66" spans="1:14" x14ac:dyDescent="0.25">
      <c r="A66" t="s">
        <v>10</v>
      </c>
      <c r="B66" t="s">
        <v>277</v>
      </c>
      <c r="C66" t="s">
        <v>12</v>
      </c>
      <c r="D66" t="s">
        <v>278</v>
      </c>
      <c r="E66" t="s">
        <v>279</v>
      </c>
      <c r="F66" t="s">
        <v>280</v>
      </c>
      <c r="G66" s="2">
        <v>5000</v>
      </c>
      <c r="H66" t="s">
        <v>276</v>
      </c>
      <c r="I66">
        <f t="shared" si="1"/>
        <v>6</v>
      </c>
      <c r="J66">
        <v>7.39</v>
      </c>
      <c r="K66">
        <v>12</v>
      </c>
      <c r="L66" t="str">
        <f>CONCATENATE('Fixed Deposit'!C66," ",'Fixed Deposit'!K66)</f>
        <v>Shriram Finance 12</v>
      </c>
      <c r="M66" s="12">
        <f>VLOOKUP(L66,'Commercials '!$C$1:$D$15,2,)</f>
        <v>2.5999999999999999E-3</v>
      </c>
      <c r="N66" s="13">
        <f t="shared" ref="N66:N129" si="2">G66*M66</f>
        <v>13</v>
      </c>
    </row>
    <row r="67" spans="1:14" x14ac:dyDescent="0.25">
      <c r="A67" t="s">
        <v>10</v>
      </c>
      <c r="B67" t="s">
        <v>281</v>
      </c>
      <c r="C67" t="s">
        <v>12</v>
      </c>
      <c r="D67" t="s">
        <v>282</v>
      </c>
      <c r="E67" t="s">
        <v>283</v>
      </c>
      <c r="F67" t="s">
        <v>284</v>
      </c>
      <c r="G67" s="2">
        <v>14000</v>
      </c>
      <c r="H67" t="s">
        <v>276</v>
      </c>
      <c r="I67">
        <f t="shared" ref="I67:I130" si="3">MONTH(H67)</f>
        <v>6</v>
      </c>
      <c r="J67">
        <v>8.19</v>
      </c>
      <c r="K67">
        <v>60</v>
      </c>
      <c r="L67" t="str">
        <f>CONCATENATE('Fixed Deposit'!C67," ",'Fixed Deposit'!K67)</f>
        <v>Shriram Finance 60</v>
      </c>
      <c r="M67" s="12">
        <f>VLOOKUP(L67,'Commercials '!$C$1:$D$15,2,)</f>
        <v>1.1900000000000001E-2</v>
      </c>
      <c r="N67" s="13">
        <f t="shared" si="2"/>
        <v>166.60000000000002</v>
      </c>
    </row>
    <row r="68" spans="1:14" x14ac:dyDescent="0.25">
      <c r="A68" t="s">
        <v>10</v>
      </c>
      <c r="B68" t="s">
        <v>177</v>
      </c>
      <c r="C68" t="s">
        <v>12</v>
      </c>
      <c r="D68" t="s">
        <v>285</v>
      </c>
      <c r="E68" t="s">
        <v>286</v>
      </c>
      <c r="F68" t="s">
        <v>180</v>
      </c>
      <c r="G68" s="2">
        <v>5000</v>
      </c>
      <c r="H68" t="s">
        <v>287</v>
      </c>
      <c r="I68">
        <f t="shared" si="3"/>
        <v>6</v>
      </c>
      <c r="J68">
        <v>8.09</v>
      </c>
      <c r="K68">
        <v>36</v>
      </c>
      <c r="L68" t="str">
        <f>CONCATENATE('Fixed Deposit'!C68," ",'Fixed Deposit'!K68)</f>
        <v>Shriram Finance 36</v>
      </c>
      <c r="M68" s="12">
        <f>VLOOKUP(L68,'Commercials '!$C$1:$D$15,2,)</f>
        <v>1.0200000000000001E-2</v>
      </c>
      <c r="N68" s="13">
        <f t="shared" si="2"/>
        <v>51.000000000000007</v>
      </c>
    </row>
    <row r="69" spans="1:14" x14ac:dyDescent="0.25">
      <c r="A69" t="s">
        <v>10</v>
      </c>
      <c r="B69" t="s">
        <v>288</v>
      </c>
      <c r="C69" t="s">
        <v>12</v>
      </c>
      <c r="D69" t="s">
        <v>289</v>
      </c>
      <c r="E69" t="s">
        <v>290</v>
      </c>
      <c r="F69" t="s">
        <v>291</v>
      </c>
      <c r="G69" s="2">
        <v>40000</v>
      </c>
      <c r="H69" t="s">
        <v>292</v>
      </c>
      <c r="I69">
        <f t="shared" si="3"/>
        <v>6</v>
      </c>
      <c r="J69">
        <v>7.39</v>
      </c>
      <c r="K69">
        <v>12</v>
      </c>
      <c r="L69" t="str">
        <f>CONCATENATE('Fixed Deposit'!C69," ",'Fixed Deposit'!K69)</f>
        <v>Shriram Finance 12</v>
      </c>
      <c r="M69" s="12">
        <f>VLOOKUP(L69,'Commercials '!$C$1:$D$15,2,)</f>
        <v>2.5999999999999999E-3</v>
      </c>
      <c r="N69" s="13">
        <f t="shared" si="2"/>
        <v>104</v>
      </c>
    </row>
    <row r="70" spans="1:14" x14ac:dyDescent="0.25">
      <c r="A70" t="s">
        <v>10</v>
      </c>
      <c r="B70" t="s">
        <v>293</v>
      </c>
      <c r="C70" t="s">
        <v>12</v>
      </c>
      <c r="D70" t="s">
        <v>294</v>
      </c>
      <c r="E70" t="s">
        <v>295</v>
      </c>
      <c r="F70" t="s">
        <v>296</v>
      </c>
      <c r="G70" s="2">
        <v>55000</v>
      </c>
      <c r="H70" t="s">
        <v>292</v>
      </c>
      <c r="I70">
        <f t="shared" si="3"/>
        <v>6</v>
      </c>
      <c r="J70">
        <v>7.49</v>
      </c>
      <c r="K70">
        <v>12</v>
      </c>
      <c r="L70" t="str">
        <f>CONCATENATE('Fixed Deposit'!C70," ",'Fixed Deposit'!K70)</f>
        <v>Shriram Finance 12</v>
      </c>
      <c r="M70" s="12">
        <f>VLOOKUP(L70,'Commercials '!$C$1:$D$15,2,)</f>
        <v>2.5999999999999999E-3</v>
      </c>
      <c r="N70" s="13">
        <f t="shared" si="2"/>
        <v>143</v>
      </c>
    </row>
    <row r="71" spans="1:14" x14ac:dyDescent="0.25">
      <c r="A71" t="s">
        <v>10</v>
      </c>
      <c r="B71" t="s">
        <v>297</v>
      </c>
      <c r="C71" t="s">
        <v>12</v>
      </c>
      <c r="D71" t="s">
        <v>298</v>
      </c>
      <c r="E71" t="s">
        <v>299</v>
      </c>
      <c r="F71" t="s">
        <v>300</v>
      </c>
      <c r="G71" s="2">
        <v>50000</v>
      </c>
      <c r="H71" t="s">
        <v>292</v>
      </c>
      <c r="I71">
        <f t="shared" si="3"/>
        <v>6</v>
      </c>
      <c r="J71">
        <v>8.09</v>
      </c>
      <c r="K71">
        <v>36</v>
      </c>
      <c r="L71" t="str">
        <f>CONCATENATE('Fixed Deposit'!C71," ",'Fixed Deposit'!K71)</f>
        <v>Shriram Finance 36</v>
      </c>
      <c r="M71" s="12">
        <f>VLOOKUP(L71,'Commercials '!$C$1:$D$15,2,)</f>
        <v>1.0200000000000001E-2</v>
      </c>
      <c r="N71" s="13">
        <f t="shared" si="2"/>
        <v>510.00000000000006</v>
      </c>
    </row>
    <row r="72" spans="1:14" x14ac:dyDescent="0.25">
      <c r="A72" t="s">
        <v>10</v>
      </c>
      <c r="B72" t="s">
        <v>131</v>
      </c>
      <c r="C72" t="s">
        <v>12</v>
      </c>
      <c r="D72" t="s">
        <v>301</v>
      </c>
      <c r="E72" t="s">
        <v>302</v>
      </c>
      <c r="F72" t="s">
        <v>134</v>
      </c>
      <c r="G72" s="2">
        <v>20000</v>
      </c>
      <c r="H72" t="s">
        <v>292</v>
      </c>
      <c r="I72">
        <f t="shared" si="3"/>
        <v>6</v>
      </c>
      <c r="J72">
        <v>7.39</v>
      </c>
      <c r="K72">
        <v>12</v>
      </c>
      <c r="L72" t="str">
        <f>CONCATENATE('Fixed Deposit'!C72," ",'Fixed Deposit'!K72)</f>
        <v>Shriram Finance 12</v>
      </c>
      <c r="M72" s="12">
        <f>VLOOKUP(L72,'Commercials '!$C$1:$D$15,2,)</f>
        <v>2.5999999999999999E-3</v>
      </c>
      <c r="N72" s="13">
        <f t="shared" si="2"/>
        <v>52</v>
      </c>
    </row>
    <row r="73" spans="1:14" x14ac:dyDescent="0.25">
      <c r="A73" t="s">
        <v>10</v>
      </c>
      <c r="B73" t="s">
        <v>303</v>
      </c>
      <c r="C73" t="s">
        <v>31</v>
      </c>
      <c r="D73" t="s">
        <v>304</v>
      </c>
      <c r="E73" t="s">
        <v>305</v>
      </c>
      <c r="F73" t="s">
        <v>306</v>
      </c>
      <c r="G73" s="2">
        <v>40000</v>
      </c>
      <c r="H73" t="s">
        <v>307</v>
      </c>
      <c r="I73">
        <f t="shared" si="3"/>
        <v>5</v>
      </c>
      <c r="J73">
        <v>7.4</v>
      </c>
      <c r="K73">
        <v>18</v>
      </c>
      <c r="L73" t="str">
        <f>CONCATENATE('Fixed Deposit'!C73," ",'Fixed Deposit'!K73)</f>
        <v>Bajaj Finance Ltd 18</v>
      </c>
      <c r="M73" s="12">
        <f>VLOOKUP(L73,'Commercials '!$C$1:$D$15,2,)</f>
        <v>4.7000000000000002E-3</v>
      </c>
      <c r="N73" s="13">
        <f t="shared" si="2"/>
        <v>188</v>
      </c>
    </row>
    <row r="74" spans="1:14" x14ac:dyDescent="0.25">
      <c r="A74" t="s">
        <v>10</v>
      </c>
      <c r="B74" t="s">
        <v>308</v>
      </c>
      <c r="C74" t="s">
        <v>12</v>
      </c>
      <c r="D74" t="s">
        <v>309</v>
      </c>
      <c r="E74" t="s">
        <v>310</v>
      </c>
      <c r="F74" t="s">
        <v>311</v>
      </c>
      <c r="G74" s="2">
        <v>10000</v>
      </c>
      <c r="H74" t="s">
        <v>312</v>
      </c>
      <c r="I74">
        <f t="shared" si="3"/>
        <v>5</v>
      </c>
      <c r="J74">
        <v>7.39</v>
      </c>
      <c r="K74">
        <v>12</v>
      </c>
      <c r="L74" t="str">
        <f>CONCATENATE('Fixed Deposit'!C74," ",'Fixed Deposit'!K74)</f>
        <v>Shriram Finance 12</v>
      </c>
      <c r="M74" s="12">
        <f>VLOOKUP(L74,'Commercials '!$C$1:$D$15,2,)</f>
        <v>2.5999999999999999E-3</v>
      </c>
      <c r="N74" s="13">
        <f t="shared" si="2"/>
        <v>26</v>
      </c>
    </row>
    <row r="75" spans="1:14" x14ac:dyDescent="0.25">
      <c r="A75" t="s">
        <v>10</v>
      </c>
      <c r="B75" t="s">
        <v>308</v>
      </c>
      <c r="C75" t="s">
        <v>12</v>
      </c>
      <c r="D75" t="s">
        <v>313</v>
      </c>
      <c r="E75" t="s">
        <v>314</v>
      </c>
      <c r="F75" t="s">
        <v>311</v>
      </c>
      <c r="G75" s="2">
        <v>10000</v>
      </c>
      <c r="H75" t="s">
        <v>315</v>
      </c>
      <c r="I75">
        <f t="shared" si="3"/>
        <v>5</v>
      </c>
      <c r="J75">
        <v>7.39</v>
      </c>
      <c r="K75">
        <v>12</v>
      </c>
      <c r="L75" t="str">
        <f>CONCATENATE('Fixed Deposit'!C75," ",'Fixed Deposit'!K75)</f>
        <v>Shriram Finance 12</v>
      </c>
      <c r="M75" s="12">
        <f>VLOOKUP(L75,'Commercials '!$C$1:$D$15,2,)</f>
        <v>2.5999999999999999E-3</v>
      </c>
      <c r="N75" s="13">
        <f t="shared" si="2"/>
        <v>26</v>
      </c>
    </row>
    <row r="76" spans="1:14" x14ac:dyDescent="0.25">
      <c r="A76" t="s">
        <v>10</v>
      </c>
      <c r="B76" t="s">
        <v>308</v>
      </c>
      <c r="C76" t="s">
        <v>31</v>
      </c>
      <c r="D76" t="s">
        <v>316</v>
      </c>
      <c r="E76" t="s">
        <v>317</v>
      </c>
      <c r="F76" t="s">
        <v>311</v>
      </c>
      <c r="G76" s="2">
        <v>20000</v>
      </c>
      <c r="H76" t="s">
        <v>315</v>
      </c>
      <c r="I76">
        <f t="shared" si="3"/>
        <v>5</v>
      </c>
      <c r="J76">
        <v>7</v>
      </c>
      <c r="K76">
        <v>12</v>
      </c>
      <c r="L76" t="str">
        <f>CONCATENATE('Fixed Deposit'!C76," ",'Fixed Deposit'!K76)</f>
        <v>Bajaj Finance Ltd 12</v>
      </c>
      <c r="M76" s="12">
        <f>VLOOKUP(L76,'Commercials '!$C$1:$D$15,2,)</f>
        <v>4.7000000000000002E-3</v>
      </c>
      <c r="N76" s="13">
        <f t="shared" si="2"/>
        <v>94</v>
      </c>
    </row>
    <row r="77" spans="1:14" x14ac:dyDescent="0.25">
      <c r="A77" t="s">
        <v>10</v>
      </c>
      <c r="B77" t="s">
        <v>318</v>
      </c>
      <c r="C77" t="s">
        <v>12</v>
      </c>
      <c r="D77" t="s">
        <v>319</v>
      </c>
      <c r="E77" t="s">
        <v>320</v>
      </c>
      <c r="F77" t="s">
        <v>321</v>
      </c>
      <c r="G77" s="2">
        <v>5000</v>
      </c>
      <c r="H77" t="s">
        <v>322</v>
      </c>
      <c r="I77">
        <f t="shared" si="3"/>
        <v>5</v>
      </c>
      <c r="J77">
        <v>8.09</v>
      </c>
      <c r="K77">
        <v>60</v>
      </c>
      <c r="L77" t="str">
        <f>CONCATENATE('Fixed Deposit'!C77," ",'Fixed Deposit'!K77)</f>
        <v>Shriram Finance 60</v>
      </c>
      <c r="M77" s="12">
        <f>VLOOKUP(L77,'Commercials '!$C$1:$D$15,2,)</f>
        <v>1.1900000000000001E-2</v>
      </c>
      <c r="N77" s="13">
        <f t="shared" si="2"/>
        <v>59.500000000000007</v>
      </c>
    </row>
    <row r="78" spans="1:14" x14ac:dyDescent="0.25">
      <c r="A78" t="s">
        <v>10</v>
      </c>
      <c r="B78" t="s">
        <v>323</v>
      </c>
      <c r="C78" t="s">
        <v>12</v>
      </c>
      <c r="D78" t="s">
        <v>324</v>
      </c>
      <c r="E78" t="s">
        <v>325</v>
      </c>
      <c r="F78" t="s">
        <v>326</v>
      </c>
      <c r="G78" s="2">
        <v>5000</v>
      </c>
      <c r="H78" t="s">
        <v>322</v>
      </c>
      <c r="I78">
        <f t="shared" si="3"/>
        <v>5</v>
      </c>
      <c r="J78">
        <v>7.39</v>
      </c>
      <c r="K78">
        <v>12</v>
      </c>
      <c r="L78" t="str">
        <f>CONCATENATE('Fixed Deposit'!C78," ",'Fixed Deposit'!K78)</f>
        <v>Shriram Finance 12</v>
      </c>
      <c r="M78" s="12">
        <f>VLOOKUP(L78,'Commercials '!$C$1:$D$15,2,)</f>
        <v>2.5999999999999999E-3</v>
      </c>
      <c r="N78" s="13">
        <f t="shared" si="2"/>
        <v>13</v>
      </c>
    </row>
    <row r="79" spans="1:14" x14ac:dyDescent="0.25">
      <c r="A79" t="s">
        <v>10</v>
      </c>
      <c r="B79" t="s">
        <v>327</v>
      </c>
      <c r="C79" t="s">
        <v>31</v>
      </c>
      <c r="D79" t="s">
        <v>328</v>
      </c>
      <c r="E79" t="s">
        <v>329</v>
      </c>
      <c r="F79" t="s">
        <v>330</v>
      </c>
      <c r="G79" s="2">
        <v>15000</v>
      </c>
      <c r="H79" t="s">
        <v>331</v>
      </c>
      <c r="I79">
        <f t="shared" si="3"/>
        <v>5</v>
      </c>
      <c r="J79">
        <v>7</v>
      </c>
      <c r="K79">
        <v>12</v>
      </c>
      <c r="L79" t="str">
        <f>CONCATENATE('Fixed Deposit'!C79," ",'Fixed Deposit'!K79)</f>
        <v>Bajaj Finance Ltd 12</v>
      </c>
      <c r="M79" s="12">
        <f>VLOOKUP(L79,'Commercials '!$C$1:$D$15,2,)</f>
        <v>4.7000000000000002E-3</v>
      </c>
      <c r="N79" s="13">
        <f t="shared" si="2"/>
        <v>70.5</v>
      </c>
    </row>
    <row r="80" spans="1:14" x14ac:dyDescent="0.25">
      <c r="A80" t="s">
        <v>10</v>
      </c>
      <c r="B80" t="s">
        <v>327</v>
      </c>
      <c r="C80" t="s">
        <v>12</v>
      </c>
      <c r="D80" t="s">
        <v>332</v>
      </c>
      <c r="E80" t="s">
        <v>333</v>
      </c>
      <c r="F80" t="s">
        <v>330</v>
      </c>
      <c r="G80" s="2">
        <v>7000</v>
      </c>
      <c r="H80" t="s">
        <v>331</v>
      </c>
      <c r="I80">
        <f t="shared" si="3"/>
        <v>5</v>
      </c>
      <c r="J80">
        <v>7.39</v>
      </c>
      <c r="K80">
        <v>12</v>
      </c>
      <c r="L80" t="str">
        <f>CONCATENATE('Fixed Deposit'!C80," ",'Fixed Deposit'!K80)</f>
        <v>Shriram Finance 12</v>
      </c>
      <c r="M80" s="12">
        <f>VLOOKUP(L80,'Commercials '!$C$1:$D$15,2,)</f>
        <v>2.5999999999999999E-3</v>
      </c>
      <c r="N80" s="13">
        <f t="shared" si="2"/>
        <v>18.2</v>
      </c>
    </row>
    <row r="81" spans="1:14" x14ac:dyDescent="0.25">
      <c r="A81" t="s">
        <v>10</v>
      </c>
      <c r="B81" t="s">
        <v>52</v>
      </c>
      <c r="C81" t="s">
        <v>12</v>
      </c>
      <c r="D81" t="s">
        <v>334</v>
      </c>
      <c r="E81" t="s">
        <v>335</v>
      </c>
      <c r="F81" t="s">
        <v>336</v>
      </c>
      <c r="G81" s="2">
        <v>10000</v>
      </c>
      <c r="H81" t="s">
        <v>337</v>
      </c>
      <c r="I81">
        <f t="shared" si="3"/>
        <v>5</v>
      </c>
      <c r="J81">
        <v>7.39</v>
      </c>
      <c r="K81">
        <v>12</v>
      </c>
      <c r="L81" t="str">
        <f>CONCATENATE('Fixed Deposit'!C81," ",'Fixed Deposit'!K81)</f>
        <v>Shriram Finance 12</v>
      </c>
      <c r="M81" s="12">
        <f>VLOOKUP(L81,'Commercials '!$C$1:$D$15,2,)</f>
        <v>2.5999999999999999E-3</v>
      </c>
      <c r="N81" s="13">
        <f t="shared" si="2"/>
        <v>26</v>
      </c>
    </row>
    <row r="82" spans="1:14" x14ac:dyDescent="0.25">
      <c r="A82" t="s">
        <v>10</v>
      </c>
      <c r="B82" t="s">
        <v>338</v>
      </c>
      <c r="C82" t="s">
        <v>12</v>
      </c>
      <c r="D82" t="s">
        <v>339</v>
      </c>
      <c r="E82" t="s">
        <v>340</v>
      </c>
      <c r="F82" t="s">
        <v>341</v>
      </c>
      <c r="G82" s="2">
        <v>70000</v>
      </c>
      <c r="H82" t="s">
        <v>337</v>
      </c>
      <c r="I82">
        <f t="shared" si="3"/>
        <v>5</v>
      </c>
      <c r="J82">
        <v>7.49</v>
      </c>
      <c r="K82">
        <v>12</v>
      </c>
      <c r="L82" t="str">
        <f>CONCATENATE('Fixed Deposit'!C82," ",'Fixed Deposit'!K82)</f>
        <v>Shriram Finance 12</v>
      </c>
      <c r="M82" s="12">
        <f>VLOOKUP(L82,'Commercials '!$C$1:$D$15,2,)</f>
        <v>2.5999999999999999E-3</v>
      </c>
      <c r="N82" s="13">
        <f t="shared" si="2"/>
        <v>182</v>
      </c>
    </row>
    <row r="83" spans="1:14" x14ac:dyDescent="0.25">
      <c r="A83" t="s">
        <v>10</v>
      </c>
      <c r="B83" t="s">
        <v>52</v>
      </c>
      <c r="C83" t="s">
        <v>12</v>
      </c>
      <c r="D83" t="s">
        <v>342</v>
      </c>
      <c r="E83" t="s">
        <v>343</v>
      </c>
      <c r="F83" t="s">
        <v>336</v>
      </c>
      <c r="G83" s="2">
        <v>5000</v>
      </c>
      <c r="H83" t="s">
        <v>344</v>
      </c>
      <c r="I83">
        <f t="shared" si="3"/>
        <v>5</v>
      </c>
      <c r="J83">
        <v>7.39</v>
      </c>
      <c r="K83">
        <v>12</v>
      </c>
      <c r="L83" t="str">
        <f>CONCATENATE('Fixed Deposit'!C83," ",'Fixed Deposit'!K83)</f>
        <v>Shriram Finance 12</v>
      </c>
      <c r="M83" s="12">
        <f>VLOOKUP(L83,'Commercials '!$C$1:$D$15,2,)</f>
        <v>2.5999999999999999E-3</v>
      </c>
      <c r="N83" s="13">
        <f t="shared" si="2"/>
        <v>13</v>
      </c>
    </row>
    <row r="84" spans="1:14" x14ac:dyDescent="0.25">
      <c r="A84" t="s">
        <v>10</v>
      </c>
      <c r="B84" t="s">
        <v>345</v>
      </c>
      <c r="C84" t="s">
        <v>12</v>
      </c>
      <c r="D84" t="s">
        <v>346</v>
      </c>
      <c r="E84" t="s">
        <v>347</v>
      </c>
      <c r="F84" t="s">
        <v>348</v>
      </c>
      <c r="G84" s="2">
        <v>5000</v>
      </c>
      <c r="H84" t="s">
        <v>349</v>
      </c>
      <c r="I84">
        <f t="shared" si="3"/>
        <v>5</v>
      </c>
      <c r="J84">
        <v>8.09</v>
      </c>
      <c r="K84">
        <v>36</v>
      </c>
      <c r="L84" t="str">
        <f>CONCATENATE('Fixed Deposit'!C84," ",'Fixed Deposit'!K84)</f>
        <v>Shriram Finance 36</v>
      </c>
      <c r="M84" s="12">
        <f>VLOOKUP(L84,'Commercials '!$C$1:$D$15,2,)</f>
        <v>1.0200000000000001E-2</v>
      </c>
      <c r="N84" s="13">
        <f t="shared" si="2"/>
        <v>51.000000000000007</v>
      </c>
    </row>
    <row r="85" spans="1:14" x14ac:dyDescent="0.25">
      <c r="A85" t="s">
        <v>10</v>
      </c>
      <c r="B85" t="s">
        <v>350</v>
      </c>
      <c r="C85" t="s">
        <v>12</v>
      </c>
      <c r="D85" t="s">
        <v>351</v>
      </c>
      <c r="E85" t="s">
        <v>352</v>
      </c>
      <c r="F85" t="s">
        <v>353</v>
      </c>
      <c r="G85" s="2">
        <v>10000</v>
      </c>
      <c r="H85" t="s">
        <v>354</v>
      </c>
      <c r="I85">
        <f t="shared" si="3"/>
        <v>5</v>
      </c>
      <c r="J85">
        <v>8.09</v>
      </c>
      <c r="K85">
        <v>36</v>
      </c>
      <c r="L85" t="str">
        <f>CONCATENATE('Fixed Deposit'!C85," ",'Fixed Deposit'!K85)</f>
        <v>Shriram Finance 36</v>
      </c>
      <c r="M85" s="12">
        <f>VLOOKUP(L85,'Commercials '!$C$1:$D$15,2,)</f>
        <v>1.0200000000000001E-2</v>
      </c>
      <c r="N85" s="13">
        <f t="shared" si="2"/>
        <v>102.00000000000001</v>
      </c>
    </row>
    <row r="86" spans="1:14" x14ac:dyDescent="0.25">
      <c r="A86" t="s">
        <v>10</v>
      </c>
      <c r="B86" t="s">
        <v>345</v>
      </c>
      <c r="C86" t="s">
        <v>31</v>
      </c>
      <c r="D86" t="s">
        <v>355</v>
      </c>
      <c r="E86" t="s">
        <v>356</v>
      </c>
      <c r="F86" t="s">
        <v>348</v>
      </c>
      <c r="G86" s="2">
        <v>18000</v>
      </c>
      <c r="H86" t="s">
        <v>354</v>
      </c>
      <c r="I86">
        <f t="shared" si="3"/>
        <v>5</v>
      </c>
      <c r="J86">
        <v>8.35</v>
      </c>
      <c r="K86">
        <v>42</v>
      </c>
      <c r="L86" t="str">
        <f>CONCATENATE('Fixed Deposit'!C86," ",'Fixed Deposit'!K86)</f>
        <v>Bajaj Finance Ltd 42</v>
      </c>
      <c r="M86" s="12">
        <f>VLOOKUP(L86,'Commercials '!$C$1:$D$15,2,)</f>
        <v>9.7999999999999997E-3</v>
      </c>
      <c r="N86" s="13">
        <f t="shared" si="2"/>
        <v>176.4</v>
      </c>
    </row>
    <row r="87" spans="1:14" x14ac:dyDescent="0.25">
      <c r="A87" t="s">
        <v>10</v>
      </c>
      <c r="B87" t="s">
        <v>345</v>
      </c>
      <c r="C87" t="s">
        <v>31</v>
      </c>
      <c r="D87" t="s">
        <v>357</v>
      </c>
      <c r="E87" t="s">
        <v>358</v>
      </c>
      <c r="F87" t="s">
        <v>348</v>
      </c>
      <c r="G87" s="2">
        <v>15000</v>
      </c>
      <c r="H87" t="s">
        <v>359</v>
      </c>
      <c r="I87">
        <f t="shared" si="3"/>
        <v>5</v>
      </c>
      <c r="J87">
        <v>8.1</v>
      </c>
      <c r="K87">
        <v>22</v>
      </c>
      <c r="L87" t="str">
        <f>CONCATENATE('Fixed Deposit'!C87," ",'Fixed Deposit'!K87)</f>
        <v>Bajaj Finance Ltd 22</v>
      </c>
      <c r="M87" s="12">
        <f>VLOOKUP(L87,'Commercials '!$C$1:$D$15,2,)</f>
        <v>4.7000000000000002E-3</v>
      </c>
      <c r="N87" s="13">
        <f t="shared" si="2"/>
        <v>70.5</v>
      </c>
    </row>
    <row r="88" spans="1:14" x14ac:dyDescent="0.25">
      <c r="A88" t="s">
        <v>10</v>
      </c>
      <c r="B88" t="s">
        <v>360</v>
      </c>
      <c r="C88" t="s">
        <v>31</v>
      </c>
      <c r="D88" t="s">
        <v>361</v>
      </c>
      <c r="E88" t="s">
        <v>362</v>
      </c>
      <c r="F88" t="s">
        <v>363</v>
      </c>
      <c r="G88" s="2">
        <v>35000</v>
      </c>
      <c r="H88" t="s">
        <v>359</v>
      </c>
      <c r="I88">
        <f t="shared" si="3"/>
        <v>5</v>
      </c>
      <c r="J88">
        <v>8.15</v>
      </c>
      <c r="K88">
        <v>42</v>
      </c>
      <c r="L88" t="str">
        <f>CONCATENATE('Fixed Deposit'!C88," ",'Fixed Deposit'!K88)</f>
        <v>Bajaj Finance Ltd 42</v>
      </c>
      <c r="M88" s="12">
        <f>VLOOKUP(L88,'Commercials '!$C$1:$D$15,2,)</f>
        <v>9.7999999999999997E-3</v>
      </c>
      <c r="N88" s="13">
        <f t="shared" si="2"/>
        <v>343</v>
      </c>
    </row>
    <row r="89" spans="1:14" x14ac:dyDescent="0.25">
      <c r="A89" t="s">
        <v>10</v>
      </c>
      <c r="B89" t="s">
        <v>177</v>
      </c>
      <c r="C89" t="s">
        <v>12</v>
      </c>
      <c r="D89" t="s">
        <v>364</v>
      </c>
      <c r="E89" t="s">
        <v>365</v>
      </c>
      <c r="F89" t="s">
        <v>180</v>
      </c>
      <c r="G89" s="2">
        <v>5000</v>
      </c>
      <c r="H89" t="s">
        <v>366</v>
      </c>
      <c r="I89">
        <f t="shared" si="3"/>
        <v>5</v>
      </c>
      <c r="J89">
        <v>8.09</v>
      </c>
      <c r="K89">
        <v>36</v>
      </c>
      <c r="L89" t="str">
        <f>CONCATENATE('Fixed Deposit'!C89," ",'Fixed Deposit'!K89)</f>
        <v>Shriram Finance 36</v>
      </c>
      <c r="M89" s="12">
        <f>VLOOKUP(L89,'Commercials '!$C$1:$D$15,2,)</f>
        <v>1.0200000000000001E-2</v>
      </c>
      <c r="N89" s="13">
        <f t="shared" si="2"/>
        <v>51.000000000000007</v>
      </c>
    </row>
    <row r="90" spans="1:14" x14ac:dyDescent="0.25">
      <c r="A90" t="s">
        <v>10</v>
      </c>
      <c r="B90" t="s">
        <v>345</v>
      </c>
      <c r="C90" t="s">
        <v>12</v>
      </c>
      <c r="D90" t="s">
        <v>367</v>
      </c>
      <c r="E90" t="s">
        <v>368</v>
      </c>
      <c r="F90" t="s">
        <v>348</v>
      </c>
      <c r="G90" s="2">
        <v>5000</v>
      </c>
      <c r="H90" t="s">
        <v>369</v>
      </c>
      <c r="I90">
        <f t="shared" si="3"/>
        <v>5</v>
      </c>
      <c r="J90">
        <v>8.09</v>
      </c>
      <c r="K90">
        <v>36</v>
      </c>
      <c r="L90" t="str">
        <f>CONCATENATE('Fixed Deposit'!C90," ",'Fixed Deposit'!K90)</f>
        <v>Shriram Finance 36</v>
      </c>
      <c r="M90" s="12">
        <f>VLOOKUP(L90,'Commercials '!$C$1:$D$15,2,)</f>
        <v>1.0200000000000001E-2</v>
      </c>
      <c r="N90" s="13">
        <f t="shared" si="2"/>
        <v>51.000000000000007</v>
      </c>
    </row>
    <row r="91" spans="1:14" x14ac:dyDescent="0.25">
      <c r="A91" t="s">
        <v>10</v>
      </c>
      <c r="B91" t="s">
        <v>370</v>
      </c>
      <c r="C91" t="s">
        <v>31</v>
      </c>
      <c r="D91" t="s">
        <v>371</v>
      </c>
      <c r="E91" t="s">
        <v>372</v>
      </c>
      <c r="F91" t="s">
        <v>373</v>
      </c>
      <c r="G91" s="2">
        <v>50000</v>
      </c>
      <c r="H91" t="s">
        <v>369</v>
      </c>
      <c r="I91">
        <f t="shared" si="3"/>
        <v>5</v>
      </c>
      <c r="J91">
        <v>7.4</v>
      </c>
      <c r="K91">
        <v>12</v>
      </c>
      <c r="L91" t="str">
        <f>CONCATENATE('Fixed Deposit'!C91," ",'Fixed Deposit'!K91)</f>
        <v>Bajaj Finance Ltd 12</v>
      </c>
      <c r="M91" s="12">
        <f>VLOOKUP(L91,'Commercials '!$C$1:$D$15,2,)</f>
        <v>4.7000000000000002E-3</v>
      </c>
      <c r="N91" s="13">
        <f t="shared" si="2"/>
        <v>235</v>
      </c>
    </row>
    <row r="92" spans="1:14" x14ac:dyDescent="0.25">
      <c r="A92" t="s">
        <v>10</v>
      </c>
      <c r="B92" t="s">
        <v>374</v>
      </c>
      <c r="C92" t="s">
        <v>12</v>
      </c>
      <c r="D92" t="s">
        <v>375</v>
      </c>
      <c r="E92" t="s">
        <v>376</v>
      </c>
      <c r="F92" t="s">
        <v>377</v>
      </c>
      <c r="G92" s="2">
        <v>15000</v>
      </c>
      <c r="H92" t="s">
        <v>378</v>
      </c>
      <c r="I92">
        <f t="shared" si="3"/>
        <v>5</v>
      </c>
      <c r="J92">
        <v>7.39</v>
      </c>
      <c r="K92">
        <v>12</v>
      </c>
      <c r="L92" t="str">
        <f>CONCATENATE('Fixed Deposit'!C92," ",'Fixed Deposit'!K92)</f>
        <v>Shriram Finance 12</v>
      </c>
      <c r="M92" s="12">
        <f>VLOOKUP(L92,'Commercials '!$C$1:$D$15,2,)</f>
        <v>2.5999999999999999E-3</v>
      </c>
      <c r="N92" s="13">
        <f t="shared" si="2"/>
        <v>39</v>
      </c>
    </row>
    <row r="93" spans="1:14" x14ac:dyDescent="0.25">
      <c r="A93" t="s">
        <v>10</v>
      </c>
      <c r="B93" t="s">
        <v>131</v>
      </c>
      <c r="C93" t="s">
        <v>12</v>
      </c>
      <c r="D93" t="s">
        <v>379</v>
      </c>
      <c r="E93" t="s">
        <v>380</v>
      </c>
      <c r="F93" t="s">
        <v>134</v>
      </c>
      <c r="G93" s="2">
        <v>20000</v>
      </c>
      <c r="H93" t="s">
        <v>378</v>
      </c>
      <c r="I93">
        <f t="shared" si="3"/>
        <v>5</v>
      </c>
      <c r="J93">
        <v>7.53</v>
      </c>
      <c r="K93">
        <v>18</v>
      </c>
      <c r="L93" t="str">
        <f>CONCATENATE('Fixed Deposit'!C93," ",'Fixed Deposit'!K93)</f>
        <v>Shriram Finance 18</v>
      </c>
      <c r="M93" s="12">
        <f>VLOOKUP(L93,'Commercials '!$C$1:$D$15,2,)</f>
        <v>2.5999999999999999E-3</v>
      </c>
      <c r="N93" s="13">
        <f t="shared" si="2"/>
        <v>52</v>
      </c>
    </row>
    <row r="94" spans="1:14" x14ac:dyDescent="0.25">
      <c r="A94" t="s">
        <v>10</v>
      </c>
      <c r="B94" t="s">
        <v>131</v>
      </c>
      <c r="C94" t="s">
        <v>12</v>
      </c>
      <c r="D94" t="s">
        <v>381</v>
      </c>
      <c r="E94" t="s">
        <v>382</v>
      </c>
      <c r="F94" t="s">
        <v>134</v>
      </c>
      <c r="G94" s="2">
        <v>20000</v>
      </c>
      <c r="H94" t="s">
        <v>378</v>
      </c>
      <c r="I94">
        <f t="shared" si="3"/>
        <v>5</v>
      </c>
      <c r="J94">
        <v>7.39</v>
      </c>
      <c r="K94">
        <v>12</v>
      </c>
      <c r="L94" t="str">
        <f>CONCATENATE('Fixed Deposit'!C94," ",'Fixed Deposit'!K94)</f>
        <v>Shriram Finance 12</v>
      </c>
      <c r="M94" s="12">
        <f>VLOOKUP(L94,'Commercials '!$C$1:$D$15,2,)</f>
        <v>2.5999999999999999E-3</v>
      </c>
      <c r="N94" s="13">
        <f t="shared" si="2"/>
        <v>52</v>
      </c>
    </row>
    <row r="95" spans="1:14" x14ac:dyDescent="0.25">
      <c r="A95" t="s">
        <v>10</v>
      </c>
      <c r="B95" t="s">
        <v>383</v>
      </c>
      <c r="C95" t="s">
        <v>12</v>
      </c>
      <c r="D95" t="s">
        <v>384</v>
      </c>
      <c r="E95" t="s">
        <v>385</v>
      </c>
      <c r="F95" t="s">
        <v>386</v>
      </c>
      <c r="G95" s="2">
        <v>5000</v>
      </c>
      <c r="H95" t="s">
        <v>387</v>
      </c>
      <c r="I95">
        <f t="shared" si="3"/>
        <v>5</v>
      </c>
      <c r="J95">
        <v>7.39</v>
      </c>
      <c r="K95">
        <v>12</v>
      </c>
      <c r="L95" t="str">
        <f>CONCATENATE('Fixed Deposit'!C95," ",'Fixed Deposit'!K95)</f>
        <v>Shriram Finance 12</v>
      </c>
      <c r="M95" s="12">
        <f>VLOOKUP(L95,'Commercials '!$C$1:$D$15,2,)</f>
        <v>2.5999999999999999E-3</v>
      </c>
      <c r="N95" s="13">
        <f t="shared" si="2"/>
        <v>13</v>
      </c>
    </row>
    <row r="96" spans="1:14" x14ac:dyDescent="0.25">
      <c r="A96" t="s">
        <v>10</v>
      </c>
      <c r="B96" t="s">
        <v>383</v>
      </c>
      <c r="C96" t="s">
        <v>31</v>
      </c>
      <c r="D96" t="s">
        <v>388</v>
      </c>
      <c r="E96" t="s">
        <v>389</v>
      </c>
      <c r="F96" t="s">
        <v>386</v>
      </c>
      <c r="G96" s="2">
        <v>15000</v>
      </c>
      <c r="H96" t="s">
        <v>387</v>
      </c>
      <c r="I96">
        <f t="shared" si="3"/>
        <v>5</v>
      </c>
      <c r="J96">
        <v>7.6</v>
      </c>
      <c r="K96">
        <v>12</v>
      </c>
      <c r="L96" t="str">
        <f>CONCATENATE('Fixed Deposit'!C96," ",'Fixed Deposit'!K96)</f>
        <v>Bajaj Finance Ltd 12</v>
      </c>
      <c r="M96" s="12">
        <f>VLOOKUP(L96,'Commercials '!$C$1:$D$15,2,)</f>
        <v>4.7000000000000002E-3</v>
      </c>
      <c r="N96" s="13">
        <f t="shared" si="2"/>
        <v>70.5</v>
      </c>
    </row>
    <row r="97" spans="1:14" x14ac:dyDescent="0.25">
      <c r="A97" t="s">
        <v>10</v>
      </c>
      <c r="B97" t="s">
        <v>318</v>
      </c>
      <c r="C97" t="s">
        <v>12</v>
      </c>
      <c r="D97" t="s">
        <v>390</v>
      </c>
      <c r="E97" t="s">
        <v>391</v>
      </c>
      <c r="F97" t="s">
        <v>321</v>
      </c>
      <c r="G97" s="2">
        <v>5000</v>
      </c>
      <c r="H97" t="s">
        <v>392</v>
      </c>
      <c r="I97">
        <f t="shared" si="3"/>
        <v>5</v>
      </c>
      <c r="J97">
        <v>8.09</v>
      </c>
      <c r="K97">
        <v>36</v>
      </c>
      <c r="L97" t="str">
        <f>CONCATENATE('Fixed Deposit'!C97," ",'Fixed Deposit'!K97)</f>
        <v>Shriram Finance 36</v>
      </c>
      <c r="M97" s="12">
        <f>VLOOKUP(L97,'Commercials '!$C$1:$D$15,2,)</f>
        <v>1.0200000000000001E-2</v>
      </c>
      <c r="N97" s="13">
        <f t="shared" si="2"/>
        <v>51.000000000000007</v>
      </c>
    </row>
    <row r="98" spans="1:14" x14ac:dyDescent="0.25">
      <c r="A98" t="s">
        <v>10</v>
      </c>
      <c r="B98" t="s">
        <v>318</v>
      </c>
      <c r="C98" t="s">
        <v>393</v>
      </c>
      <c r="D98" t="s">
        <v>394</v>
      </c>
      <c r="E98" t="s">
        <v>395</v>
      </c>
      <c r="F98" t="s">
        <v>321</v>
      </c>
      <c r="G98" s="2">
        <v>15000</v>
      </c>
      <c r="H98" t="s">
        <v>392</v>
      </c>
      <c r="I98">
        <f t="shared" si="3"/>
        <v>5</v>
      </c>
      <c r="J98">
        <v>8.1</v>
      </c>
      <c r="K98">
        <v>36</v>
      </c>
      <c r="L98" t="str">
        <f>CONCATENATE('Fixed Deposit'!C98," ",'Fixed Deposit'!K98)</f>
        <v>Mahindra Finance 36</v>
      </c>
      <c r="M98" s="12">
        <f>VLOOKUP(L98,'Commercials '!$C$1:$D$15,2,)</f>
        <v>6.7999999999999996E-3</v>
      </c>
      <c r="N98" s="13">
        <f t="shared" si="2"/>
        <v>102</v>
      </c>
    </row>
    <row r="99" spans="1:14" x14ac:dyDescent="0.25">
      <c r="A99" t="s">
        <v>10</v>
      </c>
      <c r="B99" t="s">
        <v>396</v>
      </c>
      <c r="C99" t="s">
        <v>31</v>
      </c>
      <c r="D99" t="s">
        <v>397</v>
      </c>
      <c r="E99" t="s">
        <v>398</v>
      </c>
      <c r="F99" t="s">
        <v>399</v>
      </c>
      <c r="G99" s="2">
        <v>20000</v>
      </c>
      <c r="H99" t="s">
        <v>400</v>
      </c>
      <c r="I99">
        <f t="shared" si="3"/>
        <v>5</v>
      </c>
      <c r="J99">
        <v>8</v>
      </c>
      <c r="K99">
        <v>18</v>
      </c>
      <c r="L99" t="str">
        <f>CONCATENATE('Fixed Deposit'!C99," ",'Fixed Deposit'!K99)</f>
        <v>Bajaj Finance Ltd 18</v>
      </c>
      <c r="M99" s="12">
        <f>VLOOKUP(L99,'Commercials '!$C$1:$D$15,2,)</f>
        <v>4.7000000000000002E-3</v>
      </c>
      <c r="N99" s="13">
        <f t="shared" si="2"/>
        <v>94</v>
      </c>
    </row>
    <row r="100" spans="1:14" x14ac:dyDescent="0.25">
      <c r="A100" t="s">
        <v>10</v>
      </c>
      <c r="B100" t="s">
        <v>270</v>
      </c>
      <c r="C100" t="s">
        <v>12</v>
      </c>
      <c r="D100" t="s">
        <v>401</v>
      </c>
      <c r="E100" t="s">
        <v>402</v>
      </c>
      <c r="F100" t="s">
        <v>273</v>
      </c>
      <c r="G100" s="2">
        <v>10000</v>
      </c>
      <c r="H100" t="s">
        <v>403</v>
      </c>
      <c r="I100">
        <f t="shared" si="3"/>
        <v>5</v>
      </c>
      <c r="J100">
        <v>7.87</v>
      </c>
      <c r="K100">
        <v>24</v>
      </c>
      <c r="L100" t="str">
        <f>CONCATENATE('Fixed Deposit'!C100," ",'Fixed Deposit'!K100)</f>
        <v>Shriram Finance 24</v>
      </c>
      <c r="M100" s="12">
        <f>VLOOKUP(L100,'Commercials '!$C$1:$D$15,2,)</f>
        <v>5.1000000000000004E-3</v>
      </c>
      <c r="N100" s="13">
        <f t="shared" si="2"/>
        <v>51.000000000000007</v>
      </c>
    </row>
    <row r="101" spans="1:14" x14ac:dyDescent="0.25">
      <c r="A101" t="s">
        <v>10</v>
      </c>
      <c r="B101" t="s">
        <v>404</v>
      </c>
      <c r="C101" t="s">
        <v>31</v>
      </c>
      <c r="D101" t="s">
        <v>405</v>
      </c>
      <c r="E101" t="s">
        <v>406</v>
      </c>
      <c r="F101" t="s">
        <v>407</v>
      </c>
      <c r="G101" s="2">
        <v>16000</v>
      </c>
      <c r="H101" t="s">
        <v>408</v>
      </c>
      <c r="I101">
        <f t="shared" si="3"/>
        <v>4</v>
      </c>
      <c r="J101">
        <v>8</v>
      </c>
      <c r="K101">
        <v>18</v>
      </c>
      <c r="L101" t="str">
        <f>CONCATENATE('Fixed Deposit'!C101," ",'Fixed Deposit'!K101)</f>
        <v>Bajaj Finance Ltd 18</v>
      </c>
      <c r="M101" s="12">
        <f>VLOOKUP(L101,'Commercials '!$C$1:$D$15,2,)</f>
        <v>4.7000000000000002E-3</v>
      </c>
      <c r="N101" s="13">
        <f t="shared" si="2"/>
        <v>75.2</v>
      </c>
    </row>
    <row r="102" spans="1:14" x14ac:dyDescent="0.25">
      <c r="A102" t="s">
        <v>10</v>
      </c>
      <c r="B102" t="s">
        <v>409</v>
      </c>
      <c r="C102" t="s">
        <v>393</v>
      </c>
      <c r="D102" t="s">
        <v>410</v>
      </c>
      <c r="E102" t="s">
        <v>411</v>
      </c>
      <c r="F102" t="s">
        <v>412</v>
      </c>
      <c r="G102" s="2">
        <v>5000</v>
      </c>
      <c r="H102" t="s">
        <v>408</v>
      </c>
      <c r="I102">
        <f t="shared" si="3"/>
        <v>4</v>
      </c>
      <c r="J102">
        <v>7.5</v>
      </c>
      <c r="K102">
        <v>12</v>
      </c>
      <c r="L102" t="str">
        <f>CONCATENATE('Fixed Deposit'!C102," ",'Fixed Deposit'!K102)</f>
        <v>Mahindra Finance 12</v>
      </c>
      <c r="M102" s="12">
        <f>VLOOKUP(L102,'Commercials '!$C$1:$D$15,2,)</f>
        <v>9.7999999999999997E-3</v>
      </c>
      <c r="N102" s="13">
        <f t="shared" si="2"/>
        <v>49</v>
      </c>
    </row>
    <row r="103" spans="1:14" x14ac:dyDescent="0.25">
      <c r="A103" t="s">
        <v>10</v>
      </c>
      <c r="B103" t="s">
        <v>413</v>
      </c>
      <c r="C103" t="s">
        <v>12</v>
      </c>
      <c r="D103" t="s">
        <v>414</v>
      </c>
      <c r="E103" t="s">
        <v>415</v>
      </c>
      <c r="F103" t="s">
        <v>416</v>
      </c>
      <c r="G103" s="2">
        <v>20000</v>
      </c>
      <c r="H103" t="s">
        <v>408</v>
      </c>
      <c r="I103">
        <f t="shared" si="3"/>
        <v>4</v>
      </c>
      <c r="J103">
        <v>8.57</v>
      </c>
      <c r="K103">
        <v>60</v>
      </c>
      <c r="L103" t="str">
        <f>CONCATENATE('Fixed Deposit'!C103," ",'Fixed Deposit'!K103)</f>
        <v>Shriram Finance 60</v>
      </c>
      <c r="M103" s="12">
        <f>VLOOKUP(L103,'Commercials '!$C$1:$D$15,2,)</f>
        <v>1.1900000000000001E-2</v>
      </c>
      <c r="N103" s="13">
        <f t="shared" si="2"/>
        <v>238.00000000000003</v>
      </c>
    </row>
    <row r="104" spans="1:14" x14ac:dyDescent="0.25">
      <c r="A104" t="s">
        <v>10</v>
      </c>
      <c r="B104" t="s">
        <v>417</v>
      </c>
      <c r="C104" t="s">
        <v>12</v>
      </c>
      <c r="D104" t="s">
        <v>418</v>
      </c>
      <c r="E104" t="s">
        <v>419</v>
      </c>
      <c r="F104" t="s">
        <v>420</v>
      </c>
      <c r="G104" s="2">
        <v>11000</v>
      </c>
      <c r="H104" t="s">
        <v>408</v>
      </c>
      <c r="I104">
        <f t="shared" si="3"/>
        <v>4</v>
      </c>
      <c r="J104">
        <v>8.57</v>
      </c>
      <c r="K104">
        <v>50</v>
      </c>
      <c r="L104" t="str">
        <f>CONCATENATE('Fixed Deposit'!C104," ",'Fixed Deposit'!K104)</f>
        <v>Shriram Finance 50</v>
      </c>
      <c r="M104" s="12">
        <f>VLOOKUP(L104,'Commercials '!$C$1:$D$15,2,)</f>
        <v>1.11E-2</v>
      </c>
      <c r="N104" s="13">
        <f t="shared" si="2"/>
        <v>122.10000000000001</v>
      </c>
    </row>
    <row r="105" spans="1:14" x14ac:dyDescent="0.25">
      <c r="A105" t="s">
        <v>10</v>
      </c>
      <c r="B105" t="s">
        <v>421</v>
      </c>
      <c r="C105" t="s">
        <v>12</v>
      </c>
      <c r="D105" t="s">
        <v>422</v>
      </c>
      <c r="E105" t="s">
        <v>423</v>
      </c>
      <c r="F105" t="s">
        <v>424</v>
      </c>
      <c r="G105" s="2">
        <v>50000</v>
      </c>
      <c r="H105" t="s">
        <v>425</v>
      </c>
      <c r="I105">
        <f t="shared" si="3"/>
        <v>4</v>
      </c>
      <c r="J105">
        <v>8.91</v>
      </c>
      <c r="K105">
        <v>50</v>
      </c>
      <c r="L105" t="str">
        <f>CONCATENATE('Fixed Deposit'!C105," ",'Fixed Deposit'!K105)</f>
        <v>Shriram Finance 50</v>
      </c>
      <c r="M105" s="12">
        <f>VLOOKUP(L105,'Commercials '!$C$1:$D$15,2,)</f>
        <v>1.11E-2</v>
      </c>
      <c r="N105" s="13">
        <f t="shared" si="2"/>
        <v>555</v>
      </c>
    </row>
    <row r="106" spans="1:14" x14ac:dyDescent="0.25">
      <c r="A106" t="s">
        <v>10</v>
      </c>
      <c r="B106" t="s">
        <v>426</v>
      </c>
      <c r="C106" t="s">
        <v>12</v>
      </c>
      <c r="D106" t="s">
        <v>427</v>
      </c>
      <c r="E106" t="s">
        <v>428</v>
      </c>
      <c r="F106" t="s">
        <v>429</v>
      </c>
      <c r="G106" s="2">
        <v>50000</v>
      </c>
      <c r="H106" t="s">
        <v>425</v>
      </c>
      <c r="I106">
        <f t="shared" si="3"/>
        <v>4</v>
      </c>
      <c r="J106">
        <v>8.42</v>
      </c>
      <c r="K106">
        <v>42</v>
      </c>
      <c r="L106" t="str">
        <f>CONCATENATE('Fixed Deposit'!C106," ",'Fixed Deposit'!K106)</f>
        <v>Shriram Finance 42</v>
      </c>
      <c r="M106" s="12">
        <f>VLOOKUP(L106,'Commercials '!$C$1:$D$15,2,)</f>
        <v>1.0200000000000001E-2</v>
      </c>
      <c r="N106" s="13">
        <f t="shared" si="2"/>
        <v>510.00000000000006</v>
      </c>
    </row>
    <row r="107" spans="1:14" x14ac:dyDescent="0.25">
      <c r="A107" t="s">
        <v>10</v>
      </c>
      <c r="B107" t="s">
        <v>52</v>
      </c>
      <c r="C107" t="s">
        <v>12</v>
      </c>
      <c r="D107" t="s">
        <v>430</v>
      </c>
      <c r="E107" t="s">
        <v>431</v>
      </c>
      <c r="F107" t="s">
        <v>336</v>
      </c>
      <c r="G107" s="2">
        <v>5000</v>
      </c>
      <c r="H107" t="s">
        <v>432</v>
      </c>
      <c r="I107">
        <f t="shared" si="3"/>
        <v>4</v>
      </c>
      <c r="J107">
        <v>7.59</v>
      </c>
      <c r="K107">
        <v>12</v>
      </c>
      <c r="L107" t="str">
        <f>CONCATENATE('Fixed Deposit'!C107," ",'Fixed Deposit'!K107)</f>
        <v>Shriram Finance 12</v>
      </c>
      <c r="M107" s="12">
        <f>VLOOKUP(L107,'Commercials '!$C$1:$D$15,2,)</f>
        <v>2.5999999999999999E-3</v>
      </c>
      <c r="N107" s="13">
        <f t="shared" si="2"/>
        <v>13</v>
      </c>
    </row>
    <row r="108" spans="1:14" x14ac:dyDescent="0.25">
      <c r="A108" t="s">
        <v>10</v>
      </c>
      <c r="B108" t="s">
        <v>433</v>
      </c>
      <c r="C108" t="s">
        <v>12</v>
      </c>
      <c r="D108" t="s">
        <v>434</v>
      </c>
      <c r="E108" t="s">
        <v>435</v>
      </c>
      <c r="F108" t="s">
        <v>436</v>
      </c>
      <c r="G108" s="2">
        <v>20000</v>
      </c>
      <c r="H108" t="s">
        <v>432</v>
      </c>
      <c r="I108">
        <f t="shared" si="3"/>
        <v>4</v>
      </c>
      <c r="J108">
        <v>7.69</v>
      </c>
      <c r="K108">
        <v>12</v>
      </c>
      <c r="L108" t="str">
        <f>CONCATENATE('Fixed Deposit'!C108," ",'Fixed Deposit'!K108)</f>
        <v>Shriram Finance 12</v>
      </c>
      <c r="M108" s="12">
        <f>VLOOKUP(L108,'Commercials '!$C$1:$D$15,2,)</f>
        <v>2.5999999999999999E-3</v>
      </c>
      <c r="N108" s="13">
        <f t="shared" si="2"/>
        <v>52</v>
      </c>
    </row>
    <row r="109" spans="1:14" x14ac:dyDescent="0.25">
      <c r="A109" t="s">
        <v>10</v>
      </c>
      <c r="B109" t="s">
        <v>437</v>
      </c>
      <c r="C109" t="s">
        <v>12</v>
      </c>
      <c r="D109" t="s">
        <v>438</v>
      </c>
      <c r="E109" t="s">
        <v>439</v>
      </c>
      <c r="F109" t="s">
        <v>440</v>
      </c>
      <c r="G109" s="2">
        <v>500000</v>
      </c>
      <c r="H109" t="s">
        <v>432</v>
      </c>
      <c r="I109">
        <f t="shared" si="3"/>
        <v>4</v>
      </c>
      <c r="J109">
        <v>7.81</v>
      </c>
      <c r="K109">
        <v>12</v>
      </c>
      <c r="L109" t="str">
        <f>CONCATENATE('Fixed Deposit'!C109," ",'Fixed Deposit'!K109)</f>
        <v>Shriram Finance 12</v>
      </c>
      <c r="M109" s="12">
        <f>VLOOKUP(L109,'Commercials '!$C$1:$D$15,2,)</f>
        <v>2.5999999999999999E-3</v>
      </c>
      <c r="N109" s="13">
        <f t="shared" si="2"/>
        <v>1300</v>
      </c>
    </row>
    <row r="110" spans="1:14" x14ac:dyDescent="0.25">
      <c r="A110" t="s">
        <v>10</v>
      </c>
      <c r="B110" t="s">
        <v>404</v>
      </c>
      <c r="C110" t="s">
        <v>31</v>
      </c>
      <c r="D110" t="s">
        <v>441</v>
      </c>
      <c r="E110" t="s">
        <v>442</v>
      </c>
      <c r="F110" t="s">
        <v>407</v>
      </c>
      <c r="G110" s="2">
        <v>15000</v>
      </c>
      <c r="H110" t="s">
        <v>432</v>
      </c>
      <c r="I110">
        <f t="shared" si="3"/>
        <v>4</v>
      </c>
      <c r="J110">
        <v>8</v>
      </c>
      <c r="K110">
        <v>18</v>
      </c>
      <c r="L110" t="str">
        <f>CONCATENATE('Fixed Deposit'!C110," ",'Fixed Deposit'!K110)</f>
        <v>Bajaj Finance Ltd 18</v>
      </c>
      <c r="M110" s="12">
        <f>VLOOKUP(L110,'Commercials '!$C$1:$D$15,2,)</f>
        <v>4.7000000000000002E-3</v>
      </c>
      <c r="N110" s="13">
        <f t="shared" si="2"/>
        <v>70.5</v>
      </c>
    </row>
    <row r="111" spans="1:14" x14ac:dyDescent="0.25">
      <c r="A111" t="s">
        <v>10</v>
      </c>
      <c r="B111" t="s">
        <v>404</v>
      </c>
      <c r="C111" t="s">
        <v>31</v>
      </c>
      <c r="D111" t="s">
        <v>443</v>
      </c>
      <c r="E111" t="s">
        <v>444</v>
      </c>
      <c r="F111" t="s">
        <v>407</v>
      </c>
      <c r="G111" s="2">
        <v>17000</v>
      </c>
      <c r="H111" t="s">
        <v>432</v>
      </c>
      <c r="I111">
        <f t="shared" si="3"/>
        <v>4</v>
      </c>
      <c r="J111">
        <v>8</v>
      </c>
      <c r="K111">
        <v>18</v>
      </c>
      <c r="L111" t="str">
        <f>CONCATENATE('Fixed Deposit'!C111," ",'Fixed Deposit'!K111)</f>
        <v>Bajaj Finance Ltd 18</v>
      </c>
      <c r="M111" s="12">
        <f>VLOOKUP(L111,'Commercials '!$C$1:$D$15,2,)</f>
        <v>4.7000000000000002E-3</v>
      </c>
      <c r="N111" s="13">
        <f t="shared" si="2"/>
        <v>79.900000000000006</v>
      </c>
    </row>
    <row r="112" spans="1:14" x14ac:dyDescent="0.25">
      <c r="A112" t="s">
        <v>10</v>
      </c>
      <c r="B112" t="s">
        <v>404</v>
      </c>
      <c r="C112" t="s">
        <v>31</v>
      </c>
      <c r="D112" t="s">
        <v>445</v>
      </c>
      <c r="E112" t="s">
        <v>446</v>
      </c>
      <c r="F112" t="s">
        <v>407</v>
      </c>
      <c r="G112" s="2">
        <v>18000</v>
      </c>
      <c r="H112" t="s">
        <v>432</v>
      </c>
      <c r="I112">
        <f t="shared" si="3"/>
        <v>4</v>
      </c>
      <c r="J112">
        <v>8</v>
      </c>
      <c r="K112">
        <v>18</v>
      </c>
      <c r="L112" t="str">
        <f>CONCATENATE('Fixed Deposit'!C112," ",'Fixed Deposit'!K112)</f>
        <v>Bajaj Finance Ltd 18</v>
      </c>
      <c r="M112" s="12">
        <f>VLOOKUP(L112,'Commercials '!$C$1:$D$15,2,)</f>
        <v>4.7000000000000002E-3</v>
      </c>
      <c r="N112" s="13">
        <f t="shared" si="2"/>
        <v>84.600000000000009</v>
      </c>
    </row>
    <row r="113" spans="1:14" x14ac:dyDescent="0.25">
      <c r="A113" t="s">
        <v>10</v>
      </c>
      <c r="B113" t="s">
        <v>404</v>
      </c>
      <c r="C113" t="s">
        <v>31</v>
      </c>
      <c r="D113" t="s">
        <v>447</v>
      </c>
      <c r="E113" t="s">
        <v>448</v>
      </c>
      <c r="F113" t="s">
        <v>407</v>
      </c>
      <c r="G113" s="2">
        <v>24000</v>
      </c>
      <c r="H113" t="s">
        <v>432</v>
      </c>
      <c r="I113">
        <f t="shared" si="3"/>
        <v>4</v>
      </c>
      <c r="J113">
        <v>8</v>
      </c>
      <c r="K113">
        <v>18</v>
      </c>
      <c r="L113" t="str">
        <f>CONCATENATE('Fixed Deposit'!C113," ",'Fixed Deposit'!K113)</f>
        <v>Bajaj Finance Ltd 18</v>
      </c>
      <c r="M113" s="12">
        <f>VLOOKUP(L113,'Commercials '!$C$1:$D$15,2,)</f>
        <v>4.7000000000000002E-3</v>
      </c>
      <c r="N113" s="13">
        <f t="shared" si="2"/>
        <v>112.80000000000001</v>
      </c>
    </row>
    <row r="114" spans="1:14" x14ac:dyDescent="0.25">
      <c r="A114" t="s">
        <v>10</v>
      </c>
      <c r="B114" t="s">
        <v>404</v>
      </c>
      <c r="C114" t="s">
        <v>31</v>
      </c>
      <c r="D114" t="s">
        <v>449</v>
      </c>
      <c r="E114" t="s">
        <v>450</v>
      </c>
      <c r="F114" t="s">
        <v>407</v>
      </c>
      <c r="G114" s="2">
        <v>25000</v>
      </c>
      <c r="H114" t="s">
        <v>432</v>
      </c>
      <c r="I114">
        <f t="shared" si="3"/>
        <v>4</v>
      </c>
      <c r="J114">
        <v>8</v>
      </c>
      <c r="K114">
        <v>18</v>
      </c>
      <c r="L114" t="str">
        <f>CONCATENATE('Fixed Deposit'!C114," ",'Fixed Deposit'!K114)</f>
        <v>Bajaj Finance Ltd 18</v>
      </c>
      <c r="M114" s="12">
        <f>VLOOKUP(L114,'Commercials '!$C$1:$D$15,2,)</f>
        <v>4.7000000000000002E-3</v>
      </c>
      <c r="N114" s="13">
        <f t="shared" si="2"/>
        <v>117.5</v>
      </c>
    </row>
    <row r="115" spans="1:14" x14ac:dyDescent="0.25">
      <c r="A115" t="s">
        <v>10</v>
      </c>
      <c r="B115" t="s">
        <v>451</v>
      </c>
      <c r="C115" t="s">
        <v>12</v>
      </c>
      <c r="D115" t="s">
        <v>452</v>
      </c>
      <c r="E115" t="s">
        <v>453</v>
      </c>
      <c r="F115" t="s">
        <v>454</v>
      </c>
      <c r="G115" s="2">
        <v>200000</v>
      </c>
      <c r="H115" t="s">
        <v>455</v>
      </c>
      <c r="I115">
        <f t="shared" si="3"/>
        <v>4</v>
      </c>
      <c r="J115">
        <v>8.92</v>
      </c>
      <c r="K115">
        <v>42</v>
      </c>
      <c r="L115" t="str">
        <f>CONCATENATE('Fixed Deposit'!C115," ",'Fixed Deposit'!K115)</f>
        <v>Shriram Finance 42</v>
      </c>
      <c r="M115" s="12">
        <f>VLOOKUP(L115,'Commercials '!$C$1:$D$15,2,)</f>
        <v>1.0200000000000001E-2</v>
      </c>
      <c r="N115" s="13">
        <f t="shared" si="2"/>
        <v>2040.0000000000002</v>
      </c>
    </row>
    <row r="116" spans="1:14" x14ac:dyDescent="0.25">
      <c r="A116" t="s">
        <v>10</v>
      </c>
      <c r="B116" t="s">
        <v>456</v>
      </c>
      <c r="C116" t="s">
        <v>12</v>
      </c>
      <c r="D116" t="s">
        <v>457</v>
      </c>
      <c r="E116" t="s">
        <v>458</v>
      </c>
      <c r="F116" t="s">
        <v>459</v>
      </c>
      <c r="G116" s="2">
        <v>10000</v>
      </c>
      <c r="H116" t="s">
        <v>455</v>
      </c>
      <c r="I116">
        <f t="shared" si="3"/>
        <v>4</v>
      </c>
      <c r="J116">
        <v>8.4700000000000006</v>
      </c>
      <c r="K116">
        <v>50</v>
      </c>
      <c r="L116" t="str">
        <f>CONCATENATE('Fixed Deposit'!C116," ",'Fixed Deposit'!K116)</f>
        <v>Shriram Finance 50</v>
      </c>
      <c r="M116" s="12">
        <f>VLOOKUP(L116,'Commercials '!$C$1:$D$15,2,)</f>
        <v>1.11E-2</v>
      </c>
      <c r="N116" s="13">
        <f t="shared" si="2"/>
        <v>111</v>
      </c>
    </row>
    <row r="117" spans="1:14" x14ac:dyDescent="0.25">
      <c r="A117" t="s">
        <v>10</v>
      </c>
      <c r="B117" t="s">
        <v>404</v>
      </c>
      <c r="C117" t="s">
        <v>31</v>
      </c>
      <c r="D117" t="s">
        <v>460</v>
      </c>
      <c r="E117" t="s">
        <v>461</v>
      </c>
      <c r="F117" t="s">
        <v>407</v>
      </c>
      <c r="G117" s="2">
        <v>15000</v>
      </c>
      <c r="H117" t="s">
        <v>455</v>
      </c>
      <c r="I117">
        <f t="shared" si="3"/>
        <v>4</v>
      </c>
      <c r="J117">
        <v>8</v>
      </c>
      <c r="K117">
        <v>18</v>
      </c>
      <c r="L117" t="str">
        <f>CONCATENATE('Fixed Deposit'!C117," ",'Fixed Deposit'!K117)</f>
        <v>Bajaj Finance Ltd 18</v>
      </c>
      <c r="M117" s="12">
        <f>VLOOKUP(L117,'Commercials '!$C$1:$D$15,2,)</f>
        <v>4.7000000000000002E-3</v>
      </c>
      <c r="N117" s="13">
        <f t="shared" si="2"/>
        <v>70.5</v>
      </c>
    </row>
    <row r="118" spans="1:14" x14ac:dyDescent="0.25">
      <c r="A118" t="s">
        <v>10</v>
      </c>
      <c r="B118" t="s">
        <v>404</v>
      </c>
      <c r="C118" t="s">
        <v>31</v>
      </c>
      <c r="D118" t="s">
        <v>462</v>
      </c>
      <c r="E118" t="s">
        <v>463</v>
      </c>
      <c r="F118" t="s">
        <v>407</v>
      </c>
      <c r="G118" s="2">
        <v>19000</v>
      </c>
      <c r="H118" t="s">
        <v>455</v>
      </c>
      <c r="I118">
        <f t="shared" si="3"/>
        <v>4</v>
      </c>
      <c r="J118">
        <v>8</v>
      </c>
      <c r="K118">
        <v>18</v>
      </c>
      <c r="L118" t="str">
        <f>CONCATENATE('Fixed Deposit'!C118," ",'Fixed Deposit'!K118)</f>
        <v>Bajaj Finance Ltd 18</v>
      </c>
      <c r="M118" s="12">
        <f>VLOOKUP(L118,'Commercials '!$C$1:$D$15,2,)</f>
        <v>4.7000000000000002E-3</v>
      </c>
      <c r="N118" s="13">
        <f t="shared" si="2"/>
        <v>89.3</v>
      </c>
    </row>
    <row r="119" spans="1:14" x14ac:dyDescent="0.25">
      <c r="A119" t="s">
        <v>10</v>
      </c>
      <c r="B119" t="s">
        <v>404</v>
      </c>
      <c r="C119" t="s">
        <v>31</v>
      </c>
      <c r="D119" t="s">
        <v>464</v>
      </c>
      <c r="E119" t="s">
        <v>465</v>
      </c>
      <c r="F119" t="s">
        <v>407</v>
      </c>
      <c r="G119" s="2">
        <v>15000</v>
      </c>
      <c r="H119" t="s">
        <v>455</v>
      </c>
      <c r="I119">
        <f t="shared" si="3"/>
        <v>4</v>
      </c>
      <c r="J119">
        <v>8</v>
      </c>
      <c r="K119">
        <v>18</v>
      </c>
      <c r="L119" t="str">
        <f>CONCATENATE('Fixed Deposit'!C119," ",'Fixed Deposit'!K119)</f>
        <v>Bajaj Finance Ltd 18</v>
      </c>
      <c r="M119" s="12">
        <f>VLOOKUP(L119,'Commercials '!$C$1:$D$15,2,)</f>
        <v>4.7000000000000002E-3</v>
      </c>
      <c r="N119" s="13">
        <f t="shared" si="2"/>
        <v>70.5</v>
      </c>
    </row>
    <row r="120" spans="1:14" x14ac:dyDescent="0.25">
      <c r="A120" t="s">
        <v>10</v>
      </c>
      <c r="B120" t="s">
        <v>404</v>
      </c>
      <c r="C120" t="s">
        <v>31</v>
      </c>
      <c r="D120" t="s">
        <v>466</v>
      </c>
      <c r="E120" t="s">
        <v>467</v>
      </c>
      <c r="F120" t="s">
        <v>407</v>
      </c>
      <c r="G120" s="2">
        <v>24000</v>
      </c>
      <c r="H120" t="s">
        <v>455</v>
      </c>
      <c r="I120">
        <f t="shared" si="3"/>
        <v>4</v>
      </c>
      <c r="J120">
        <v>8</v>
      </c>
      <c r="K120">
        <v>18</v>
      </c>
      <c r="L120" t="str">
        <f>CONCATENATE('Fixed Deposit'!C120," ",'Fixed Deposit'!K120)</f>
        <v>Bajaj Finance Ltd 18</v>
      </c>
      <c r="M120" s="12">
        <f>VLOOKUP(L120,'Commercials '!$C$1:$D$15,2,)</f>
        <v>4.7000000000000002E-3</v>
      </c>
      <c r="N120" s="13">
        <f t="shared" si="2"/>
        <v>112.80000000000001</v>
      </c>
    </row>
    <row r="121" spans="1:14" x14ac:dyDescent="0.25">
      <c r="A121" t="s">
        <v>10</v>
      </c>
      <c r="B121" t="s">
        <v>404</v>
      </c>
      <c r="C121" t="s">
        <v>31</v>
      </c>
      <c r="D121" t="s">
        <v>468</v>
      </c>
      <c r="E121" t="s">
        <v>469</v>
      </c>
      <c r="F121" t="s">
        <v>407</v>
      </c>
      <c r="G121" s="2">
        <v>25000</v>
      </c>
      <c r="H121" t="s">
        <v>455</v>
      </c>
      <c r="I121">
        <f t="shared" si="3"/>
        <v>4</v>
      </c>
      <c r="J121">
        <v>8</v>
      </c>
      <c r="K121">
        <v>18</v>
      </c>
      <c r="L121" t="str">
        <f>CONCATENATE('Fixed Deposit'!C121," ",'Fixed Deposit'!K121)</f>
        <v>Bajaj Finance Ltd 18</v>
      </c>
      <c r="M121" s="12">
        <f>VLOOKUP(L121,'Commercials '!$C$1:$D$15,2,)</f>
        <v>4.7000000000000002E-3</v>
      </c>
      <c r="N121" s="13">
        <f t="shared" si="2"/>
        <v>117.5</v>
      </c>
    </row>
    <row r="122" spans="1:14" x14ac:dyDescent="0.25">
      <c r="A122" t="s">
        <v>10</v>
      </c>
      <c r="B122" t="s">
        <v>417</v>
      </c>
      <c r="C122" t="s">
        <v>12</v>
      </c>
      <c r="D122" t="s">
        <v>470</v>
      </c>
      <c r="E122" t="s">
        <v>471</v>
      </c>
      <c r="F122" t="s">
        <v>420</v>
      </c>
      <c r="G122" s="2">
        <v>11000</v>
      </c>
      <c r="H122" t="s">
        <v>455</v>
      </c>
      <c r="I122">
        <f t="shared" si="3"/>
        <v>4</v>
      </c>
      <c r="J122">
        <v>8.57</v>
      </c>
      <c r="K122">
        <v>50</v>
      </c>
      <c r="L122" t="str">
        <f>CONCATENATE('Fixed Deposit'!C122," ",'Fixed Deposit'!K122)</f>
        <v>Shriram Finance 50</v>
      </c>
      <c r="M122" s="12">
        <f>VLOOKUP(L122,'Commercials '!$C$1:$D$15,2,)</f>
        <v>1.11E-2</v>
      </c>
      <c r="N122" s="13">
        <f t="shared" si="2"/>
        <v>122.10000000000001</v>
      </c>
    </row>
    <row r="123" spans="1:14" x14ac:dyDescent="0.25">
      <c r="A123" t="s">
        <v>10</v>
      </c>
      <c r="B123" t="s">
        <v>404</v>
      </c>
      <c r="C123" t="s">
        <v>31</v>
      </c>
      <c r="D123" t="s">
        <v>472</v>
      </c>
      <c r="E123" t="s">
        <v>473</v>
      </c>
      <c r="F123" t="s">
        <v>407</v>
      </c>
      <c r="G123" s="2">
        <v>21000</v>
      </c>
      <c r="H123" t="s">
        <v>474</v>
      </c>
      <c r="I123">
        <f t="shared" si="3"/>
        <v>4</v>
      </c>
      <c r="J123">
        <v>8</v>
      </c>
      <c r="K123">
        <v>18</v>
      </c>
      <c r="L123" t="str">
        <f>CONCATENATE('Fixed Deposit'!C123," ",'Fixed Deposit'!K123)</f>
        <v>Bajaj Finance Ltd 18</v>
      </c>
      <c r="M123" s="12">
        <f>VLOOKUP(L123,'Commercials '!$C$1:$D$15,2,)</f>
        <v>4.7000000000000002E-3</v>
      </c>
      <c r="N123" s="13">
        <f t="shared" si="2"/>
        <v>98.7</v>
      </c>
    </row>
    <row r="124" spans="1:14" x14ac:dyDescent="0.25">
      <c r="A124" t="s">
        <v>10</v>
      </c>
      <c r="B124" t="s">
        <v>404</v>
      </c>
      <c r="C124" t="s">
        <v>31</v>
      </c>
      <c r="D124" t="s">
        <v>475</v>
      </c>
      <c r="E124" t="s">
        <v>476</v>
      </c>
      <c r="F124" t="s">
        <v>407</v>
      </c>
      <c r="G124" s="2">
        <v>16000</v>
      </c>
      <c r="H124" t="s">
        <v>474</v>
      </c>
      <c r="I124">
        <f t="shared" si="3"/>
        <v>4</v>
      </c>
      <c r="J124">
        <v>8</v>
      </c>
      <c r="K124">
        <v>18</v>
      </c>
      <c r="L124" t="str">
        <f>CONCATENATE('Fixed Deposit'!C124," ",'Fixed Deposit'!K124)</f>
        <v>Bajaj Finance Ltd 18</v>
      </c>
      <c r="M124" s="12">
        <f>VLOOKUP(L124,'Commercials '!$C$1:$D$15,2,)</f>
        <v>4.7000000000000002E-3</v>
      </c>
      <c r="N124" s="13">
        <f t="shared" si="2"/>
        <v>75.2</v>
      </c>
    </row>
    <row r="125" spans="1:14" x14ac:dyDescent="0.25">
      <c r="A125" t="s">
        <v>10</v>
      </c>
      <c r="B125" t="s">
        <v>404</v>
      </c>
      <c r="C125" t="s">
        <v>31</v>
      </c>
      <c r="D125" t="s">
        <v>477</v>
      </c>
      <c r="E125" t="s">
        <v>478</v>
      </c>
      <c r="F125" t="s">
        <v>407</v>
      </c>
      <c r="G125" s="2">
        <v>24000</v>
      </c>
      <c r="H125" t="s">
        <v>474</v>
      </c>
      <c r="I125">
        <f t="shared" si="3"/>
        <v>4</v>
      </c>
      <c r="J125">
        <v>8</v>
      </c>
      <c r="K125">
        <v>18</v>
      </c>
      <c r="L125" t="str">
        <f>CONCATENATE('Fixed Deposit'!C125," ",'Fixed Deposit'!K125)</f>
        <v>Bajaj Finance Ltd 18</v>
      </c>
      <c r="M125" s="12">
        <f>VLOOKUP(L125,'Commercials '!$C$1:$D$15,2,)</f>
        <v>4.7000000000000002E-3</v>
      </c>
      <c r="N125" s="13">
        <f t="shared" si="2"/>
        <v>112.80000000000001</v>
      </c>
    </row>
    <row r="126" spans="1:14" x14ac:dyDescent="0.25">
      <c r="A126" t="s">
        <v>10</v>
      </c>
      <c r="B126" t="s">
        <v>404</v>
      </c>
      <c r="C126" t="s">
        <v>31</v>
      </c>
      <c r="D126" t="s">
        <v>479</v>
      </c>
      <c r="E126" t="s">
        <v>480</v>
      </c>
      <c r="F126" t="s">
        <v>407</v>
      </c>
      <c r="G126" s="2">
        <v>20000</v>
      </c>
      <c r="H126" t="s">
        <v>474</v>
      </c>
      <c r="I126">
        <f t="shared" si="3"/>
        <v>4</v>
      </c>
      <c r="J126">
        <v>8</v>
      </c>
      <c r="K126">
        <v>18</v>
      </c>
      <c r="L126" t="str">
        <f>CONCATENATE('Fixed Deposit'!C126," ",'Fixed Deposit'!K126)</f>
        <v>Bajaj Finance Ltd 18</v>
      </c>
      <c r="M126" s="12">
        <f>VLOOKUP(L126,'Commercials '!$C$1:$D$15,2,)</f>
        <v>4.7000000000000002E-3</v>
      </c>
      <c r="N126" s="13">
        <f t="shared" si="2"/>
        <v>94</v>
      </c>
    </row>
    <row r="127" spans="1:14" x14ac:dyDescent="0.25">
      <c r="A127" t="s">
        <v>10</v>
      </c>
      <c r="B127" t="s">
        <v>481</v>
      </c>
      <c r="C127" t="s">
        <v>12</v>
      </c>
      <c r="D127" t="s">
        <v>482</v>
      </c>
      <c r="E127" t="s">
        <v>483</v>
      </c>
      <c r="F127" t="s">
        <v>484</v>
      </c>
      <c r="G127" s="2">
        <v>5000</v>
      </c>
      <c r="H127" t="s">
        <v>474</v>
      </c>
      <c r="I127">
        <f t="shared" si="3"/>
        <v>4</v>
      </c>
      <c r="J127">
        <v>7.59</v>
      </c>
      <c r="K127">
        <v>12</v>
      </c>
      <c r="L127" t="str">
        <f>CONCATENATE('Fixed Deposit'!C127," ",'Fixed Deposit'!K127)</f>
        <v>Shriram Finance 12</v>
      </c>
      <c r="M127" s="12">
        <f>VLOOKUP(L127,'Commercials '!$C$1:$D$15,2,)</f>
        <v>2.5999999999999999E-3</v>
      </c>
      <c r="N127" s="13">
        <f t="shared" si="2"/>
        <v>13</v>
      </c>
    </row>
    <row r="128" spans="1:14" x14ac:dyDescent="0.25">
      <c r="A128" t="s">
        <v>10</v>
      </c>
      <c r="B128" t="s">
        <v>52</v>
      </c>
      <c r="C128" t="s">
        <v>12</v>
      </c>
      <c r="D128" t="s">
        <v>485</v>
      </c>
      <c r="E128" t="s">
        <v>486</v>
      </c>
      <c r="F128" t="s">
        <v>336</v>
      </c>
      <c r="G128" s="2">
        <v>20000</v>
      </c>
      <c r="H128" t="s">
        <v>487</v>
      </c>
      <c r="I128">
        <f t="shared" si="3"/>
        <v>4</v>
      </c>
      <c r="J128">
        <v>7.59</v>
      </c>
      <c r="K128">
        <v>12</v>
      </c>
      <c r="L128" t="str">
        <f>CONCATENATE('Fixed Deposit'!C128," ",'Fixed Deposit'!K128)</f>
        <v>Shriram Finance 12</v>
      </c>
      <c r="M128" s="12">
        <f>VLOOKUP(L128,'Commercials '!$C$1:$D$15,2,)</f>
        <v>2.5999999999999999E-3</v>
      </c>
      <c r="N128" s="13">
        <f t="shared" si="2"/>
        <v>52</v>
      </c>
    </row>
    <row r="129" spans="1:14" x14ac:dyDescent="0.25">
      <c r="A129" t="s">
        <v>10</v>
      </c>
      <c r="B129" t="s">
        <v>417</v>
      </c>
      <c r="C129" t="s">
        <v>12</v>
      </c>
      <c r="D129" t="s">
        <v>488</v>
      </c>
      <c r="E129" t="s">
        <v>489</v>
      </c>
      <c r="F129" t="s">
        <v>420</v>
      </c>
      <c r="G129" s="2">
        <v>11000</v>
      </c>
      <c r="H129" t="s">
        <v>487</v>
      </c>
      <c r="I129">
        <f t="shared" si="3"/>
        <v>4</v>
      </c>
      <c r="J129">
        <v>8.57</v>
      </c>
      <c r="K129">
        <v>50</v>
      </c>
      <c r="L129" t="str">
        <f>CONCATENATE('Fixed Deposit'!C129," ",'Fixed Deposit'!K129)</f>
        <v>Shriram Finance 50</v>
      </c>
      <c r="M129" s="12">
        <f>VLOOKUP(L129,'Commercials '!$C$1:$D$15,2,)</f>
        <v>1.11E-2</v>
      </c>
      <c r="N129" s="13">
        <f t="shared" si="2"/>
        <v>122.10000000000001</v>
      </c>
    </row>
    <row r="130" spans="1:14" x14ac:dyDescent="0.25">
      <c r="A130" t="s">
        <v>10</v>
      </c>
      <c r="B130" t="s">
        <v>404</v>
      </c>
      <c r="C130" t="s">
        <v>31</v>
      </c>
      <c r="D130" t="s">
        <v>490</v>
      </c>
      <c r="E130" t="s">
        <v>491</v>
      </c>
      <c r="F130" t="s">
        <v>407</v>
      </c>
      <c r="G130" s="2">
        <v>19000</v>
      </c>
      <c r="H130" t="s">
        <v>492</v>
      </c>
      <c r="I130">
        <f t="shared" si="3"/>
        <v>4</v>
      </c>
      <c r="J130">
        <v>8</v>
      </c>
      <c r="K130">
        <v>18</v>
      </c>
      <c r="L130" t="str">
        <f>CONCATENATE('Fixed Deposit'!C130," ",'Fixed Deposit'!K130)</f>
        <v>Bajaj Finance Ltd 18</v>
      </c>
      <c r="M130" s="12">
        <f>VLOOKUP(L130,'Commercials '!$C$1:$D$15,2,)</f>
        <v>4.7000000000000002E-3</v>
      </c>
      <c r="N130" s="13">
        <f t="shared" ref="N130:N193" si="4">G130*M130</f>
        <v>89.3</v>
      </c>
    </row>
    <row r="131" spans="1:14" x14ac:dyDescent="0.25">
      <c r="A131" t="s">
        <v>10</v>
      </c>
      <c r="B131" t="s">
        <v>53</v>
      </c>
      <c r="C131" t="s">
        <v>12</v>
      </c>
      <c r="D131" t="s">
        <v>493</v>
      </c>
      <c r="E131" t="s">
        <v>494</v>
      </c>
      <c r="F131" t="s">
        <v>56</v>
      </c>
      <c r="G131" s="2">
        <v>10000</v>
      </c>
      <c r="H131" t="s">
        <v>492</v>
      </c>
      <c r="I131">
        <f t="shared" ref="I131:I194" si="5">MONTH(H131)</f>
        <v>4</v>
      </c>
      <c r="J131">
        <v>8.4700000000000006</v>
      </c>
      <c r="K131">
        <v>42</v>
      </c>
      <c r="L131" t="str">
        <f>CONCATENATE('Fixed Deposit'!C131," ",'Fixed Deposit'!K131)</f>
        <v>Shriram Finance 42</v>
      </c>
      <c r="M131" s="12">
        <f>VLOOKUP(L131,'Commercials '!$C$1:$D$15,2,)</f>
        <v>1.0200000000000001E-2</v>
      </c>
      <c r="N131" s="13">
        <f t="shared" si="4"/>
        <v>102.00000000000001</v>
      </c>
    </row>
    <row r="132" spans="1:14" x14ac:dyDescent="0.25">
      <c r="A132" t="s">
        <v>10</v>
      </c>
      <c r="B132" t="s">
        <v>495</v>
      </c>
      <c r="C132" t="s">
        <v>12</v>
      </c>
      <c r="D132" t="s">
        <v>496</v>
      </c>
      <c r="E132" t="s">
        <v>497</v>
      </c>
      <c r="F132" t="s">
        <v>498</v>
      </c>
      <c r="G132" s="2">
        <v>5000</v>
      </c>
      <c r="H132" t="s">
        <v>492</v>
      </c>
      <c r="I132">
        <f t="shared" si="5"/>
        <v>4</v>
      </c>
      <c r="J132">
        <v>8.4700000000000006</v>
      </c>
      <c r="K132">
        <v>50</v>
      </c>
      <c r="L132" t="str">
        <f>CONCATENATE('Fixed Deposit'!C132," ",'Fixed Deposit'!K132)</f>
        <v>Shriram Finance 50</v>
      </c>
      <c r="M132" s="12">
        <f>VLOOKUP(L132,'Commercials '!$C$1:$D$15,2,)</f>
        <v>1.11E-2</v>
      </c>
      <c r="N132" s="13">
        <f t="shared" si="4"/>
        <v>55.5</v>
      </c>
    </row>
    <row r="133" spans="1:14" x14ac:dyDescent="0.25">
      <c r="A133" t="s">
        <v>10</v>
      </c>
      <c r="B133" t="s">
        <v>499</v>
      </c>
      <c r="C133" t="s">
        <v>12</v>
      </c>
      <c r="D133" t="s">
        <v>500</v>
      </c>
      <c r="E133" t="s">
        <v>501</v>
      </c>
      <c r="F133" t="s">
        <v>502</v>
      </c>
      <c r="G133" s="2">
        <v>20000</v>
      </c>
      <c r="H133" t="s">
        <v>492</v>
      </c>
      <c r="I133">
        <f t="shared" si="5"/>
        <v>4</v>
      </c>
      <c r="J133">
        <v>8.19</v>
      </c>
      <c r="K133">
        <v>12</v>
      </c>
      <c r="L133" t="str">
        <f>CONCATENATE('Fixed Deposit'!C133," ",'Fixed Deposit'!K133)</f>
        <v>Shriram Finance 12</v>
      </c>
      <c r="M133" s="12">
        <f>VLOOKUP(L133,'Commercials '!$C$1:$D$15,2,)</f>
        <v>2.5999999999999999E-3</v>
      </c>
      <c r="N133" s="13">
        <f t="shared" si="4"/>
        <v>52</v>
      </c>
    </row>
    <row r="134" spans="1:14" x14ac:dyDescent="0.25">
      <c r="A134" t="s">
        <v>10</v>
      </c>
      <c r="B134" t="s">
        <v>404</v>
      </c>
      <c r="C134" t="s">
        <v>31</v>
      </c>
      <c r="D134" t="s">
        <v>503</v>
      </c>
      <c r="E134" t="s">
        <v>504</v>
      </c>
      <c r="F134" t="s">
        <v>407</v>
      </c>
      <c r="G134" s="2">
        <v>24000</v>
      </c>
      <c r="H134" t="s">
        <v>505</v>
      </c>
      <c r="I134">
        <f t="shared" si="5"/>
        <v>4</v>
      </c>
      <c r="J134">
        <v>8</v>
      </c>
      <c r="K134">
        <v>18</v>
      </c>
      <c r="L134" t="str">
        <f>CONCATENATE('Fixed Deposit'!C134," ",'Fixed Deposit'!K134)</f>
        <v>Bajaj Finance Ltd 18</v>
      </c>
      <c r="M134" s="12">
        <f>VLOOKUP(L134,'Commercials '!$C$1:$D$15,2,)</f>
        <v>4.7000000000000002E-3</v>
      </c>
      <c r="N134" s="13">
        <f t="shared" si="4"/>
        <v>112.80000000000001</v>
      </c>
    </row>
    <row r="135" spans="1:14" x14ac:dyDescent="0.25">
      <c r="A135" t="s">
        <v>10</v>
      </c>
      <c r="B135" t="s">
        <v>404</v>
      </c>
      <c r="C135" t="s">
        <v>31</v>
      </c>
      <c r="D135" t="s">
        <v>506</v>
      </c>
      <c r="E135" t="s">
        <v>507</v>
      </c>
      <c r="F135" t="s">
        <v>407</v>
      </c>
      <c r="G135" s="2">
        <v>25000</v>
      </c>
      <c r="H135" t="s">
        <v>505</v>
      </c>
      <c r="I135">
        <f t="shared" si="5"/>
        <v>4</v>
      </c>
      <c r="J135">
        <v>8</v>
      </c>
      <c r="K135">
        <v>18</v>
      </c>
      <c r="L135" t="str">
        <f>CONCATENATE('Fixed Deposit'!C135," ",'Fixed Deposit'!K135)</f>
        <v>Bajaj Finance Ltd 18</v>
      </c>
      <c r="M135" s="12">
        <f>VLOOKUP(L135,'Commercials '!$C$1:$D$15,2,)</f>
        <v>4.7000000000000002E-3</v>
      </c>
      <c r="N135" s="13">
        <f t="shared" si="4"/>
        <v>117.5</v>
      </c>
    </row>
    <row r="136" spans="1:14" x14ac:dyDescent="0.25">
      <c r="A136" t="s">
        <v>10</v>
      </c>
      <c r="B136" t="s">
        <v>404</v>
      </c>
      <c r="C136" t="s">
        <v>31</v>
      </c>
      <c r="D136" t="s">
        <v>508</v>
      </c>
      <c r="E136" t="s">
        <v>509</v>
      </c>
      <c r="F136" t="s">
        <v>407</v>
      </c>
      <c r="G136" s="2">
        <v>21000</v>
      </c>
      <c r="H136" t="s">
        <v>505</v>
      </c>
      <c r="I136">
        <f t="shared" si="5"/>
        <v>4</v>
      </c>
      <c r="J136">
        <v>8</v>
      </c>
      <c r="K136">
        <v>18</v>
      </c>
      <c r="L136" t="str">
        <f>CONCATENATE('Fixed Deposit'!C136," ",'Fixed Deposit'!K136)</f>
        <v>Bajaj Finance Ltd 18</v>
      </c>
      <c r="M136" s="12">
        <f>VLOOKUP(L136,'Commercials '!$C$1:$D$15,2,)</f>
        <v>4.7000000000000002E-3</v>
      </c>
      <c r="N136" s="13">
        <f t="shared" si="4"/>
        <v>98.7</v>
      </c>
    </row>
    <row r="137" spans="1:14" x14ac:dyDescent="0.25">
      <c r="A137" t="s">
        <v>10</v>
      </c>
      <c r="B137" t="s">
        <v>499</v>
      </c>
      <c r="C137" t="s">
        <v>12</v>
      </c>
      <c r="D137" t="s">
        <v>510</v>
      </c>
      <c r="E137" t="s">
        <v>511</v>
      </c>
      <c r="F137" t="s">
        <v>502</v>
      </c>
      <c r="G137" s="2">
        <v>20000</v>
      </c>
      <c r="H137" t="s">
        <v>505</v>
      </c>
      <c r="I137">
        <f t="shared" si="5"/>
        <v>4</v>
      </c>
      <c r="J137">
        <v>8.33</v>
      </c>
      <c r="K137">
        <v>18</v>
      </c>
      <c r="L137" t="str">
        <f>CONCATENATE('Fixed Deposit'!C137," ",'Fixed Deposit'!K137)</f>
        <v>Shriram Finance 18</v>
      </c>
      <c r="M137" s="12">
        <f>VLOOKUP(L137,'Commercials '!$C$1:$D$15,2,)</f>
        <v>2.5999999999999999E-3</v>
      </c>
      <c r="N137" s="13">
        <f t="shared" si="4"/>
        <v>52</v>
      </c>
    </row>
    <row r="138" spans="1:14" x14ac:dyDescent="0.25">
      <c r="A138" t="s">
        <v>10</v>
      </c>
      <c r="B138" t="s">
        <v>404</v>
      </c>
      <c r="C138" t="s">
        <v>31</v>
      </c>
      <c r="D138" t="s">
        <v>512</v>
      </c>
      <c r="E138" t="s">
        <v>513</v>
      </c>
      <c r="F138" t="s">
        <v>407</v>
      </c>
      <c r="G138" s="2">
        <v>23000</v>
      </c>
      <c r="H138" t="s">
        <v>514</v>
      </c>
      <c r="I138">
        <f t="shared" si="5"/>
        <v>4</v>
      </c>
      <c r="J138">
        <v>8</v>
      </c>
      <c r="K138">
        <v>18</v>
      </c>
      <c r="L138" t="str">
        <f>CONCATENATE('Fixed Deposit'!C138," ",'Fixed Deposit'!K138)</f>
        <v>Bajaj Finance Ltd 18</v>
      </c>
      <c r="M138" s="12">
        <f>VLOOKUP(L138,'Commercials '!$C$1:$D$15,2,)</f>
        <v>4.7000000000000002E-3</v>
      </c>
      <c r="N138" s="13">
        <f t="shared" si="4"/>
        <v>108.10000000000001</v>
      </c>
    </row>
    <row r="139" spans="1:14" x14ac:dyDescent="0.25">
      <c r="A139" t="s">
        <v>10</v>
      </c>
      <c r="B139" t="s">
        <v>404</v>
      </c>
      <c r="C139" t="s">
        <v>31</v>
      </c>
      <c r="D139" t="s">
        <v>515</v>
      </c>
      <c r="E139" t="s">
        <v>516</v>
      </c>
      <c r="F139" t="s">
        <v>407</v>
      </c>
      <c r="G139" s="2">
        <v>22000</v>
      </c>
      <c r="H139" t="s">
        <v>514</v>
      </c>
      <c r="I139">
        <f t="shared" si="5"/>
        <v>4</v>
      </c>
      <c r="J139">
        <v>8</v>
      </c>
      <c r="K139">
        <v>18</v>
      </c>
      <c r="L139" t="str">
        <f>CONCATENATE('Fixed Deposit'!C139," ",'Fixed Deposit'!K139)</f>
        <v>Bajaj Finance Ltd 18</v>
      </c>
      <c r="M139" s="12">
        <f>VLOOKUP(L139,'Commercials '!$C$1:$D$15,2,)</f>
        <v>4.7000000000000002E-3</v>
      </c>
      <c r="N139" s="13">
        <f t="shared" si="4"/>
        <v>103.4</v>
      </c>
    </row>
    <row r="140" spans="1:14" x14ac:dyDescent="0.25">
      <c r="A140" t="s">
        <v>10</v>
      </c>
      <c r="B140" t="s">
        <v>517</v>
      </c>
      <c r="C140" t="s">
        <v>12</v>
      </c>
      <c r="D140" t="s">
        <v>518</v>
      </c>
      <c r="E140" t="s">
        <v>519</v>
      </c>
      <c r="F140" t="s">
        <v>520</v>
      </c>
      <c r="G140" s="2">
        <v>5000</v>
      </c>
      <c r="H140" t="s">
        <v>514</v>
      </c>
      <c r="I140">
        <f t="shared" si="5"/>
        <v>4</v>
      </c>
      <c r="J140">
        <v>7.59</v>
      </c>
      <c r="K140">
        <v>12</v>
      </c>
      <c r="L140" t="str">
        <f>CONCATENATE('Fixed Deposit'!C140," ",'Fixed Deposit'!K140)</f>
        <v>Shriram Finance 12</v>
      </c>
      <c r="M140" s="12">
        <f>VLOOKUP(L140,'Commercials '!$C$1:$D$15,2,)</f>
        <v>2.5999999999999999E-3</v>
      </c>
      <c r="N140" s="13">
        <f t="shared" si="4"/>
        <v>13</v>
      </c>
    </row>
    <row r="141" spans="1:14" x14ac:dyDescent="0.25">
      <c r="A141" t="s">
        <v>10</v>
      </c>
      <c r="B141" t="s">
        <v>521</v>
      </c>
      <c r="C141" t="s">
        <v>12</v>
      </c>
      <c r="D141" t="s">
        <v>522</v>
      </c>
      <c r="E141" t="s">
        <v>523</v>
      </c>
      <c r="F141" t="s">
        <v>524</v>
      </c>
      <c r="G141" s="2">
        <v>100000</v>
      </c>
      <c r="H141" t="s">
        <v>514</v>
      </c>
      <c r="I141">
        <f t="shared" si="5"/>
        <v>4</v>
      </c>
      <c r="J141">
        <v>8.3800000000000008</v>
      </c>
      <c r="K141">
        <v>36</v>
      </c>
      <c r="L141" t="str">
        <f>CONCATENATE('Fixed Deposit'!C141," ",'Fixed Deposit'!K141)</f>
        <v>Shriram Finance 36</v>
      </c>
      <c r="M141" s="12">
        <f>VLOOKUP(L141,'Commercials '!$C$1:$D$15,2,)</f>
        <v>1.0200000000000001E-2</v>
      </c>
      <c r="N141" s="13">
        <f t="shared" si="4"/>
        <v>1020.0000000000001</v>
      </c>
    </row>
    <row r="142" spans="1:14" x14ac:dyDescent="0.25">
      <c r="A142" t="s">
        <v>10</v>
      </c>
      <c r="B142" t="s">
        <v>525</v>
      </c>
      <c r="C142" t="s">
        <v>31</v>
      </c>
      <c r="D142" t="s">
        <v>526</v>
      </c>
      <c r="E142" t="s">
        <v>527</v>
      </c>
      <c r="F142" t="s">
        <v>528</v>
      </c>
      <c r="G142" s="2">
        <v>25000</v>
      </c>
      <c r="H142" t="s">
        <v>514</v>
      </c>
      <c r="I142">
        <f t="shared" si="5"/>
        <v>4</v>
      </c>
      <c r="J142">
        <v>8.1</v>
      </c>
      <c r="K142">
        <v>42</v>
      </c>
      <c r="L142" t="str">
        <f>CONCATENATE('Fixed Deposit'!C142," ",'Fixed Deposit'!K142)</f>
        <v>Bajaj Finance Ltd 42</v>
      </c>
      <c r="M142" s="12">
        <f>VLOOKUP(L142,'Commercials '!$C$1:$D$15,2,)</f>
        <v>9.7999999999999997E-3</v>
      </c>
      <c r="N142" s="13">
        <f t="shared" si="4"/>
        <v>245</v>
      </c>
    </row>
    <row r="143" spans="1:14" x14ac:dyDescent="0.25">
      <c r="A143" t="s">
        <v>10</v>
      </c>
      <c r="B143" t="s">
        <v>525</v>
      </c>
      <c r="C143" t="s">
        <v>12</v>
      </c>
      <c r="D143" t="s">
        <v>529</v>
      </c>
      <c r="E143" t="s">
        <v>530</v>
      </c>
      <c r="F143" t="s">
        <v>528</v>
      </c>
      <c r="G143" s="2">
        <v>5000</v>
      </c>
      <c r="H143" t="s">
        <v>531</v>
      </c>
      <c r="I143">
        <f t="shared" si="5"/>
        <v>4</v>
      </c>
      <c r="J143">
        <v>8.4700000000000006</v>
      </c>
      <c r="K143">
        <v>50</v>
      </c>
      <c r="L143" t="str">
        <f>CONCATENATE('Fixed Deposit'!C143," ",'Fixed Deposit'!K143)</f>
        <v>Shriram Finance 50</v>
      </c>
      <c r="M143" s="12">
        <f>VLOOKUP(L143,'Commercials '!$C$1:$D$15,2,)</f>
        <v>1.11E-2</v>
      </c>
      <c r="N143" s="13">
        <f t="shared" si="4"/>
        <v>55.5</v>
      </c>
    </row>
    <row r="144" spans="1:14" x14ac:dyDescent="0.25">
      <c r="A144" t="s">
        <v>10</v>
      </c>
      <c r="B144" t="s">
        <v>52</v>
      </c>
      <c r="C144" t="s">
        <v>12</v>
      </c>
      <c r="D144" t="s">
        <v>532</v>
      </c>
      <c r="E144" t="s">
        <v>533</v>
      </c>
      <c r="F144" t="s">
        <v>336</v>
      </c>
      <c r="G144" s="2">
        <v>5000</v>
      </c>
      <c r="H144" t="s">
        <v>531</v>
      </c>
      <c r="I144">
        <f t="shared" si="5"/>
        <v>4</v>
      </c>
      <c r="J144">
        <v>7.59</v>
      </c>
      <c r="K144">
        <v>12</v>
      </c>
      <c r="L144" t="str">
        <f>CONCATENATE('Fixed Deposit'!C144," ",'Fixed Deposit'!K144)</f>
        <v>Shriram Finance 12</v>
      </c>
      <c r="M144" s="12">
        <f>VLOOKUP(L144,'Commercials '!$C$1:$D$15,2,)</f>
        <v>2.5999999999999999E-3</v>
      </c>
      <c r="N144" s="13">
        <f t="shared" si="4"/>
        <v>13</v>
      </c>
    </row>
    <row r="145" spans="1:14" x14ac:dyDescent="0.25">
      <c r="A145" t="s">
        <v>10</v>
      </c>
      <c r="B145" t="s">
        <v>534</v>
      </c>
      <c r="C145" t="s">
        <v>12</v>
      </c>
      <c r="D145" t="s">
        <v>535</v>
      </c>
      <c r="E145" t="s">
        <v>536</v>
      </c>
      <c r="F145" t="s">
        <v>537</v>
      </c>
      <c r="G145" s="2">
        <v>50000</v>
      </c>
      <c r="H145" t="s">
        <v>538</v>
      </c>
      <c r="I145">
        <f t="shared" si="5"/>
        <v>4</v>
      </c>
      <c r="J145">
        <v>8.3800000000000008</v>
      </c>
      <c r="K145">
        <v>36</v>
      </c>
      <c r="L145" t="str">
        <f>CONCATENATE('Fixed Deposit'!C145," ",'Fixed Deposit'!K145)</f>
        <v>Shriram Finance 36</v>
      </c>
      <c r="M145" s="12">
        <f>VLOOKUP(L145,'Commercials '!$C$1:$D$15,2,)</f>
        <v>1.0200000000000001E-2</v>
      </c>
      <c r="N145" s="13">
        <f t="shared" si="4"/>
        <v>510.00000000000006</v>
      </c>
    </row>
    <row r="146" spans="1:14" x14ac:dyDescent="0.25">
      <c r="A146" t="s">
        <v>10</v>
      </c>
      <c r="B146" t="s">
        <v>417</v>
      </c>
      <c r="C146" t="s">
        <v>12</v>
      </c>
      <c r="D146" t="s">
        <v>539</v>
      </c>
      <c r="E146" t="s">
        <v>540</v>
      </c>
      <c r="F146" t="s">
        <v>420</v>
      </c>
      <c r="G146" s="2">
        <v>11000</v>
      </c>
      <c r="H146" t="s">
        <v>538</v>
      </c>
      <c r="I146">
        <f t="shared" si="5"/>
        <v>4</v>
      </c>
      <c r="J146">
        <v>8.57</v>
      </c>
      <c r="K146">
        <v>60</v>
      </c>
      <c r="L146" t="str">
        <f>CONCATENATE('Fixed Deposit'!C146," ",'Fixed Deposit'!K146)</f>
        <v>Shriram Finance 60</v>
      </c>
      <c r="M146" s="12">
        <f>VLOOKUP(L146,'Commercials '!$C$1:$D$15,2,)</f>
        <v>1.1900000000000001E-2</v>
      </c>
      <c r="N146" s="13">
        <f t="shared" si="4"/>
        <v>130.9</v>
      </c>
    </row>
    <row r="147" spans="1:14" x14ac:dyDescent="0.25">
      <c r="A147" t="s">
        <v>10</v>
      </c>
      <c r="B147" t="s">
        <v>541</v>
      </c>
      <c r="C147" t="s">
        <v>12</v>
      </c>
      <c r="D147" t="s">
        <v>542</v>
      </c>
      <c r="E147" t="s">
        <v>543</v>
      </c>
      <c r="F147" t="s">
        <v>544</v>
      </c>
      <c r="G147" s="2">
        <v>50000</v>
      </c>
      <c r="H147" t="s">
        <v>538</v>
      </c>
      <c r="I147">
        <f t="shared" si="5"/>
        <v>4</v>
      </c>
      <c r="J147">
        <v>7.59</v>
      </c>
      <c r="K147">
        <v>12</v>
      </c>
      <c r="L147" t="str">
        <f>CONCATENATE('Fixed Deposit'!C147," ",'Fixed Deposit'!K147)</f>
        <v>Shriram Finance 12</v>
      </c>
      <c r="M147" s="12">
        <f>VLOOKUP(L147,'Commercials '!$C$1:$D$15,2,)</f>
        <v>2.5999999999999999E-3</v>
      </c>
      <c r="N147" s="13">
        <f t="shared" si="4"/>
        <v>130</v>
      </c>
    </row>
    <row r="148" spans="1:14" x14ac:dyDescent="0.25">
      <c r="A148" t="s">
        <v>10</v>
      </c>
      <c r="B148" t="s">
        <v>545</v>
      </c>
      <c r="C148" t="s">
        <v>12</v>
      </c>
      <c r="D148" t="s">
        <v>546</v>
      </c>
      <c r="E148" t="s">
        <v>547</v>
      </c>
      <c r="F148" t="s">
        <v>548</v>
      </c>
      <c r="G148" s="2">
        <v>300000</v>
      </c>
      <c r="H148" t="s">
        <v>549</v>
      </c>
      <c r="I148">
        <f t="shared" si="5"/>
        <v>4</v>
      </c>
      <c r="J148">
        <v>8.4700000000000006</v>
      </c>
      <c r="K148">
        <v>50</v>
      </c>
      <c r="L148" t="str">
        <f>CONCATENATE('Fixed Deposit'!C148," ",'Fixed Deposit'!K148)</f>
        <v>Shriram Finance 50</v>
      </c>
      <c r="M148" s="12">
        <f>VLOOKUP(L148,'Commercials '!$C$1:$D$15,2,)</f>
        <v>1.11E-2</v>
      </c>
      <c r="N148" s="13">
        <f t="shared" si="4"/>
        <v>3330</v>
      </c>
    </row>
    <row r="149" spans="1:14" x14ac:dyDescent="0.25">
      <c r="A149" t="s">
        <v>10</v>
      </c>
      <c r="B149" t="s">
        <v>550</v>
      </c>
      <c r="C149" t="s">
        <v>31</v>
      </c>
      <c r="D149" t="s">
        <v>551</v>
      </c>
      <c r="E149" t="s">
        <v>552</v>
      </c>
      <c r="F149" t="s">
        <v>553</v>
      </c>
      <c r="G149" s="2">
        <v>15000</v>
      </c>
      <c r="H149" t="s">
        <v>549</v>
      </c>
      <c r="I149">
        <f t="shared" si="5"/>
        <v>4</v>
      </c>
      <c r="J149">
        <v>7.6</v>
      </c>
      <c r="K149">
        <v>12</v>
      </c>
      <c r="L149" t="str">
        <f>CONCATENATE('Fixed Deposit'!C149," ",'Fixed Deposit'!K149)</f>
        <v>Bajaj Finance Ltd 12</v>
      </c>
      <c r="M149" s="12">
        <f>VLOOKUP(L149,'Commercials '!$C$1:$D$15,2,)</f>
        <v>4.7000000000000002E-3</v>
      </c>
      <c r="N149" s="13">
        <f t="shared" si="4"/>
        <v>70.5</v>
      </c>
    </row>
    <row r="150" spans="1:14" x14ac:dyDescent="0.25">
      <c r="A150" t="s">
        <v>10</v>
      </c>
      <c r="B150" t="s">
        <v>545</v>
      </c>
      <c r="C150" t="s">
        <v>12</v>
      </c>
      <c r="D150" t="s">
        <v>554</v>
      </c>
      <c r="E150" t="s">
        <v>555</v>
      </c>
      <c r="F150" t="s">
        <v>548</v>
      </c>
      <c r="G150" s="2">
        <v>200000</v>
      </c>
      <c r="H150" t="s">
        <v>556</v>
      </c>
      <c r="I150">
        <f t="shared" si="5"/>
        <v>4</v>
      </c>
      <c r="J150">
        <v>8.4700000000000006</v>
      </c>
      <c r="K150">
        <v>50</v>
      </c>
      <c r="L150" t="str">
        <f>CONCATENATE('Fixed Deposit'!C150," ",'Fixed Deposit'!K150)</f>
        <v>Shriram Finance 50</v>
      </c>
      <c r="M150" s="12">
        <f>VLOOKUP(L150,'Commercials '!$C$1:$D$15,2,)</f>
        <v>1.11E-2</v>
      </c>
      <c r="N150" s="13">
        <f t="shared" si="4"/>
        <v>2220</v>
      </c>
    </row>
    <row r="151" spans="1:14" x14ac:dyDescent="0.25">
      <c r="A151" t="s">
        <v>10</v>
      </c>
      <c r="B151" t="s">
        <v>193</v>
      </c>
      <c r="C151" t="s">
        <v>12</v>
      </c>
      <c r="D151" t="s">
        <v>557</v>
      </c>
      <c r="E151" t="s">
        <v>558</v>
      </c>
      <c r="F151" t="s">
        <v>196</v>
      </c>
      <c r="G151" s="2">
        <v>10000</v>
      </c>
      <c r="H151" t="s">
        <v>559</v>
      </c>
      <c r="I151">
        <f t="shared" si="5"/>
        <v>4</v>
      </c>
      <c r="J151">
        <v>8.4700000000000006</v>
      </c>
      <c r="K151">
        <v>60</v>
      </c>
      <c r="L151" t="str">
        <f>CONCATENATE('Fixed Deposit'!C151," ",'Fixed Deposit'!K151)</f>
        <v>Shriram Finance 60</v>
      </c>
      <c r="M151" s="12">
        <f>VLOOKUP(L151,'Commercials '!$C$1:$D$15,2,)</f>
        <v>1.1900000000000001E-2</v>
      </c>
      <c r="N151" s="13">
        <f t="shared" si="4"/>
        <v>119.00000000000001</v>
      </c>
    </row>
    <row r="152" spans="1:14" x14ac:dyDescent="0.25">
      <c r="A152" t="s">
        <v>10</v>
      </c>
      <c r="B152" t="s">
        <v>413</v>
      </c>
      <c r="C152" t="s">
        <v>12</v>
      </c>
      <c r="D152" t="s">
        <v>560</v>
      </c>
      <c r="E152" t="s">
        <v>561</v>
      </c>
      <c r="F152" t="s">
        <v>416</v>
      </c>
      <c r="G152" s="2">
        <v>10000</v>
      </c>
      <c r="H152" t="s">
        <v>559</v>
      </c>
      <c r="I152">
        <f t="shared" si="5"/>
        <v>4</v>
      </c>
      <c r="J152">
        <v>8.57</v>
      </c>
      <c r="K152">
        <v>60</v>
      </c>
      <c r="L152" t="str">
        <f>CONCATENATE('Fixed Deposit'!C152," ",'Fixed Deposit'!K152)</f>
        <v>Shriram Finance 60</v>
      </c>
      <c r="M152" s="12">
        <f>VLOOKUP(L152,'Commercials '!$C$1:$D$15,2,)</f>
        <v>1.1900000000000001E-2</v>
      </c>
      <c r="N152" s="13">
        <f t="shared" si="4"/>
        <v>119.00000000000001</v>
      </c>
    </row>
    <row r="153" spans="1:14" x14ac:dyDescent="0.25">
      <c r="A153" t="s">
        <v>10</v>
      </c>
      <c r="B153" t="s">
        <v>417</v>
      </c>
      <c r="C153" t="s">
        <v>12</v>
      </c>
      <c r="D153" t="s">
        <v>562</v>
      </c>
      <c r="E153" t="s">
        <v>563</v>
      </c>
      <c r="F153" t="s">
        <v>420</v>
      </c>
      <c r="G153" s="2">
        <v>11000</v>
      </c>
      <c r="H153" t="s">
        <v>559</v>
      </c>
      <c r="I153">
        <f t="shared" si="5"/>
        <v>4</v>
      </c>
      <c r="J153">
        <v>8.57</v>
      </c>
      <c r="K153">
        <v>50</v>
      </c>
      <c r="L153" t="str">
        <f>CONCATENATE('Fixed Deposit'!C153," ",'Fixed Deposit'!K153)</f>
        <v>Shriram Finance 50</v>
      </c>
      <c r="M153" s="12">
        <f>VLOOKUP(L153,'Commercials '!$C$1:$D$15,2,)</f>
        <v>1.11E-2</v>
      </c>
      <c r="N153" s="13">
        <f t="shared" si="4"/>
        <v>122.10000000000001</v>
      </c>
    </row>
    <row r="154" spans="1:14" x14ac:dyDescent="0.25">
      <c r="A154" t="s">
        <v>10</v>
      </c>
      <c r="B154" t="s">
        <v>404</v>
      </c>
      <c r="C154" t="s">
        <v>31</v>
      </c>
      <c r="D154" t="s">
        <v>564</v>
      </c>
      <c r="E154" t="s">
        <v>565</v>
      </c>
      <c r="F154" t="s">
        <v>407</v>
      </c>
      <c r="G154" s="2">
        <v>23000</v>
      </c>
      <c r="H154" t="s">
        <v>566</v>
      </c>
      <c r="I154">
        <f t="shared" si="5"/>
        <v>4</v>
      </c>
      <c r="J154">
        <v>8</v>
      </c>
      <c r="K154">
        <v>18</v>
      </c>
      <c r="L154" t="str">
        <f>CONCATENATE('Fixed Deposit'!C154," ",'Fixed Deposit'!K154)</f>
        <v>Bajaj Finance Ltd 18</v>
      </c>
      <c r="M154" s="12">
        <f>VLOOKUP(L154,'Commercials '!$C$1:$D$15,2,)</f>
        <v>4.7000000000000002E-3</v>
      </c>
      <c r="N154" s="13">
        <f t="shared" si="4"/>
        <v>108.10000000000001</v>
      </c>
    </row>
    <row r="155" spans="1:14" x14ac:dyDescent="0.25">
      <c r="A155" t="s">
        <v>10</v>
      </c>
      <c r="B155" t="s">
        <v>404</v>
      </c>
      <c r="C155" t="s">
        <v>31</v>
      </c>
      <c r="D155" t="s">
        <v>567</v>
      </c>
      <c r="E155" t="s">
        <v>568</v>
      </c>
      <c r="F155" t="s">
        <v>407</v>
      </c>
      <c r="G155" s="2">
        <v>24000</v>
      </c>
      <c r="H155" t="s">
        <v>566</v>
      </c>
      <c r="I155">
        <f t="shared" si="5"/>
        <v>4</v>
      </c>
      <c r="J155">
        <v>8</v>
      </c>
      <c r="K155">
        <v>18</v>
      </c>
      <c r="L155" t="str">
        <f>CONCATENATE('Fixed Deposit'!C155," ",'Fixed Deposit'!K155)</f>
        <v>Bajaj Finance Ltd 18</v>
      </c>
      <c r="M155" s="12">
        <f>VLOOKUP(L155,'Commercials '!$C$1:$D$15,2,)</f>
        <v>4.7000000000000002E-3</v>
      </c>
      <c r="N155" s="13">
        <f t="shared" si="4"/>
        <v>112.80000000000001</v>
      </c>
    </row>
    <row r="156" spans="1:14" x14ac:dyDescent="0.25">
      <c r="A156" t="s">
        <v>10</v>
      </c>
      <c r="B156" t="s">
        <v>404</v>
      </c>
      <c r="C156" t="s">
        <v>31</v>
      </c>
      <c r="D156" t="s">
        <v>569</v>
      </c>
      <c r="E156" t="s">
        <v>570</v>
      </c>
      <c r="F156" t="s">
        <v>407</v>
      </c>
      <c r="G156" s="2">
        <v>25000</v>
      </c>
      <c r="H156" t="s">
        <v>566</v>
      </c>
      <c r="I156">
        <f t="shared" si="5"/>
        <v>4</v>
      </c>
      <c r="J156">
        <v>8</v>
      </c>
      <c r="K156">
        <v>18</v>
      </c>
      <c r="L156" t="str">
        <f>CONCATENATE('Fixed Deposit'!C156," ",'Fixed Deposit'!K156)</f>
        <v>Bajaj Finance Ltd 18</v>
      </c>
      <c r="M156" s="12">
        <f>VLOOKUP(L156,'Commercials '!$C$1:$D$15,2,)</f>
        <v>4.7000000000000002E-3</v>
      </c>
      <c r="N156" s="13">
        <f t="shared" si="4"/>
        <v>117.5</v>
      </c>
    </row>
    <row r="157" spans="1:14" x14ac:dyDescent="0.25">
      <c r="A157" t="s">
        <v>10</v>
      </c>
      <c r="B157" t="s">
        <v>404</v>
      </c>
      <c r="C157" t="s">
        <v>31</v>
      </c>
      <c r="D157" t="s">
        <v>571</v>
      </c>
      <c r="E157" t="s">
        <v>572</v>
      </c>
      <c r="F157" t="s">
        <v>407</v>
      </c>
      <c r="G157" s="2">
        <v>15000</v>
      </c>
      <c r="H157" t="s">
        <v>566</v>
      </c>
      <c r="I157">
        <f t="shared" si="5"/>
        <v>4</v>
      </c>
      <c r="J157">
        <v>8</v>
      </c>
      <c r="K157">
        <v>18</v>
      </c>
      <c r="L157" t="str">
        <f>CONCATENATE('Fixed Deposit'!C157," ",'Fixed Deposit'!K157)</f>
        <v>Bajaj Finance Ltd 18</v>
      </c>
      <c r="M157" s="12">
        <f>VLOOKUP(L157,'Commercials '!$C$1:$D$15,2,)</f>
        <v>4.7000000000000002E-3</v>
      </c>
      <c r="N157" s="13">
        <f t="shared" si="4"/>
        <v>70.5</v>
      </c>
    </row>
    <row r="158" spans="1:14" x14ac:dyDescent="0.25">
      <c r="A158" t="s">
        <v>10</v>
      </c>
      <c r="B158" t="s">
        <v>573</v>
      </c>
      <c r="C158" t="s">
        <v>12</v>
      </c>
      <c r="D158" t="s">
        <v>574</v>
      </c>
      <c r="E158" t="s">
        <v>575</v>
      </c>
      <c r="F158" t="s">
        <v>576</v>
      </c>
      <c r="G158" s="2">
        <v>50000</v>
      </c>
      <c r="H158" t="s">
        <v>577</v>
      </c>
      <c r="I158">
        <f t="shared" si="5"/>
        <v>4</v>
      </c>
      <c r="J158">
        <v>8.57</v>
      </c>
      <c r="K158">
        <v>50</v>
      </c>
      <c r="L158" t="str">
        <f>CONCATENATE('Fixed Deposit'!C158," ",'Fixed Deposit'!K158)</f>
        <v>Shriram Finance 50</v>
      </c>
      <c r="M158" s="12">
        <f>VLOOKUP(L158,'Commercials '!$C$1:$D$15,2,)</f>
        <v>1.11E-2</v>
      </c>
      <c r="N158" s="13">
        <f t="shared" si="4"/>
        <v>555</v>
      </c>
    </row>
    <row r="159" spans="1:14" x14ac:dyDescent="0.25">
      <c r="A159" t="s">
        <v>10</v>
      </c>
      <c r="B159" t="s">
        <v>578</v>
      </c>
      <c r="C159" t="s">
        <v>12</v>
      </c>
      <c r="D159" t="s">
        <v>579</v>
      </c>
      <c r="E159" t="s">
        <v>580</v>
      </c>
      <c r="F159" t="s">
        <v>581</v>
      </c>
      <c r="G159" s="2">
        <v>500000</v>
      </c>
      <c r="H159" t="s">
        <v>582</v>
      </c>
      <c r="I159">
        <f t="shared" si="5"/>
        <v>4</v>
      </c>
      <c r="J159">
        <v>8.42</v>
      </c>
      <c r="K159">
        <v>42</v>
      </c>
      <c r="L159" t="str">
        <f>CONCATENATE('Fixed Deposit'!C159," ",'Fixed Deposit'!K159)</f>
        <v>Shriram Finance 42</v>
      </c>
      <c r="M159" s="12">
        <f>VLOOKUP(L159,'Commercials '!$C$1:$D$15,2,)</f>
        <v>1.0200000000000001E-2</v>
      </c>
      <c r="N159" s="13">
        <f t="shared" si="4"/>
        <v>5100</v>
      </c>
    </row>
    <row r="160" spans="1:14" x14ac:dyDescent="0.25">
      <c r="A160" t="s">
        <v>10</v>
      </c>
      <c r="B160" t="s">
        <v>417</v>
      </c>
      <c r="C160" t="s">
        <v>12</v>
      </c>
      <c r="D160" t="s">
        <v>583</v>
      </c>
      <c r="E160" t="s">
        <v>584</v>
      </c>
      <c r="F160" t="s">
        <v>420</v>
      </c>
      <c r="G160" s="2">
        <v>11000</v>
      </c>
      <c r="H160" t="s">
        <v>582</v>
      </c>
      <c r="I160">
        <f t="shared" si="5"/>
        <v>4</v>
      </c>
      <c r="J160">
        <v>8.57</v>
      </c>
      <c r="K160">
        <v>50</v>
      </c>
      <c r="L160" t="str">
        <f>CONCATENATE('Fixed Deposit'!C160," ",'Fixed Deposit'!K160)</f>
        <v>Shriram Finance 50</v>
      </c>
      <c r="M160" s="12">
        <f>VLOOKUP(L160,'Commercials '!$C$1:$D$15,2,)</f>
        <v>1.11E-2</v>
      </c>
      <c r="N160" s="13">
        <f t="shared" si="4"/>
        <v>122.10000000000001</v>
      </c>
    </row>
    <row r="161" spans="1:14" x14ac:dyDescent="0.25">
      <c r="A161" t="s">
        <v>10</v>
      </c>
      <c r="B161" t="s">
        <v>585</v>
      </c>
      <c r="C161" t="s">
        <v>12</v>
      </c>
      <c r="D161" t="s">
        <v>586</v>
      </c>
      <c r="E161" t="s">
        <v>587</v>
      </c>
      <c r="F161" t="s">
        <v>588</v>
      </c>
      <c r="G161" s="2">
        <v>5000</v>
      </c>
      <c r="H161" t="s">
        <v>589</v>
      </c>
      <c r="I161">
        <f t="shared" si="5"/>
        <v>4</v>
      </c>
      <c r="J161">
        <v>8.3800000000000008</v>
      </c>
      <c r="K161">
        <v>36</v>
      </c>
      <c r="L161" t="str">
        <f>CONCATENATE('Fixed Deposit'!C161," ",'Fixed Deposit'!K161)</f>
        <v>Shriram Finance 36</v>
      </c>
      <c r="M161" s="12">
        <f>VLOOKUP(L161,'Commercials '!$C$1:$D$15,2,)</f>
        <v>1.0200000000000001E-2</v>
      </c>
      <c r="N161" s="13">
        <f t="shared" si="4"/>
        <v>51.000000000000007</v>
      </c>
    </row>
    <row r="162" spans="1:14" x14ac:dyDescent="0.25">
      <c r="A162" t="s">
        <v>10</v>
      </c>
      <c r="B162" t="s">
        <v>585</v>
      </c>
      <c r="C162" t="s">
        <v>12</v>
      </c>
      <c r="D162" t="s">
        <v>590</v>
      </c>
      <c r="E162" t="s">
        <v>591</v>
      </c>
      <c r="F162" t="s">
        <v>588</v>
      </c>
      <c r="G162" s="2">
        <v>5000</v>
      </c>
      <c r="H162" t="s">
        <v>589</v>
      </c>
      <c r="I162">
        <f t="shared" si="5"/>
        <v>4</v>
      </c>
      <c r="J162">
        <v>7.87</v>
      </c>
      <c r="K162">
        <v>24</v>
      </c>
      <c r="L162" t="str">
        <f>CONCATENATE('Fixed Deposit'!C162," ",'Fixed Deposit'!K162)</f>
        <v>Shriram Finance 24</v>
      </c>
      <c r="M162" s="12">
        <f>VLOOKUP(L162,'Commercials '!$C$1:$D$15,2,)</f>
        <v>5.1000000000000004E-3</v>
      </c>
      <c r="N162" s="13">
        <f t="shared" si="4"/>
        <v>25.500000000000004</v>
      </c>
    </row>
    <row r="163" spans="1:14" x14ac:dyDescent="0.25">
      <c r="A163" t="s">
        <v>10</v>
      </c>
      <c r="B163" t="s">
        <v>222</v>
      </c>
      <c r="C163" t="s">
        <v>12</v>
      </c>
      <c r="D163" t="s">
        <v>592</v>
      </c>
      <c r="E163" t="s">
        <v>593</v>
      </c>
      <c r="F163" t="s">
        <v>225</v>
      </c>
      <c r="G163" s="2">
        <v>5000</v>
      </c>
      <c r="H163" t="s">
        <v>589</v>
      </c>
      <c r="I163">
        <f t="shared" si="5"/>
        <v>4</v>
      </c>
      <c r="J163">
        <v>8.4700000000000006</v>
      </c>
      <c r="K163">
        <v>60</v>
      </c>
      <c r="L163" t="str">
        <f>CONCATENATE('Fixed Deposit'!C163," ",'Fixed Deposit'!K163)</f>
        <v>Shriram Finance 60</v>
      </c>
      <c r="M163" s="12">
        <f>VLOOKUP(L163,'Commercials '!$C$1:$D$15,2,)</f>
        <v>1.1900000000000001E-2</v>
      </c>
      <c r="N163" s="13">
        <f t="shared" si="4"/>
        <v>59.500000000000007</v>
      </c>
    </row>
    <row r="164" spans="1:14" x14ac:dyDescent="0.25">
      <c r="A164" t="s">
        <v>10</v>
      </c>
      <c r="B164" t="s">
        <v>594</v>
      </c>
      <c r="C164" t="s">
        <v>12</v>
      </c>
      <c r="D164" t="s">
        <v>595</v>
      </c>
      <c r="E164" t="s">
        <v>596</v>
      </c>
      <c r="F164" t="s">
        <v>597</v>
      </c>
      <c r="G164" s="2">
        <v>5000</v>
      </c>
      <c r="H164" t="s">
        <v>589</v>
      </c>
      <c r="I164">
        <f t="shared" si="5"/>
        <v>4</v>
      </c>
      <c r="J164">
        <v>8.09</v>
      </c>
      <c r="K164">
        <v>12</v>
      </c>
      <c r="L164" t="str">
        <f>CONCATENATE('Fixed Deposit'!C164," ",'Fixed Deposit'!K164)</f>
        <v>Shriram Finance 12</v>
      </c>
      <c r="M164" s="12">
        <f>VLOOKUP(L164,'Commercials '!$C$1:$D$15,2,)</f>
        <v>2.5999999999999999E-3</v>
      </c>
      <c r="N164" s="13">
        <f t="shared" si="4"/>
        <v>13</v>
      </c>
    </row>
    <row r="165" spans="1:14" x14ac:dyDescent="0.25">
      <c r="A165" t="s">
        <v>10</v>
      </c>
      <c r="B165" t="s">
        <v>417</v>
      </c>
      <c r="C165" t="s">
        <v>12</v>
      </c>
      <c r="D165" t="s">
        <v>598</v>
      </c>
      <c r="E165" t="s">
        <v>599</v>
      </c>
      <c r="F165" t="s">
        <v>420</v>
      </c>
      <c r="G165" s="2">
        <v>11000</v>
      </c>
      <c r="H165" t="s">
        <v>600</v>
      </c>
      <c r="I165">
        <f t="shared" si="5"/>
        <v>4</v>
      </c>
      <c r="J165">
        <v>8.57</v>
      </c>
      <c r="K165">
        <v>50</v>
      </c>
      <c r="L165" t="str">
        <f>CONCATENATE('Fixed Deposit'!C165," ",'Fixed Deposit'!K165)</f>
        <v>Shriram Finance 50</v>
      </c>
      <c r="M165" s="12">
        <f>VLOOKUP(L165,'Commercials '!$C$1:$D$15,2,)</f>
        <v>1.11E-2</v>
      </c>
      <c r="N165" s="13">
        <f t="shared" si="4"/>
        <v>122.10000000000001</v>
      </c>
    </row>
    <row r="166" spans="1:14" x14ac:dyDescent="0.25">
      <c r="A166" t="s">
        <v>10</v>
      </c>
      <c r="B166" t="s">
        <v>601</v>
      </c>
      <c r="C166" t="s">
        <v>12</v>
      </c>
      <c r="D166" t="s">
        <v>602</v>
      </c>
      <c r="E166" t="s">
        <v>603</v>
      </c>
      <c r="F166" t="s">
        <v>604</v>
      </c>
      <c r="G166" s="2">
        <v>5000</v>
      </c>
      <c r="H166" t="s">
        <v>605</v>
      </c>
      <c r="I166">
        <f t="shared" si="5"/>
        <v>4</v>
      </c>
      <c r="J166">
        <v>7.69</v>
      </c>
      <c r="K166">
        <v>12</v>
      </c>
      <c r="L166" t="str">
        <f>CONCATENATE('Fixed Deposit'!C166," ",'Fixed Deposit'!K166)</f>
        <v>Shriram Finance 12</v>
      </c>
      <c r="M166" s="12">
        <f>VLOOKUP(L166,'Commercials '!$C$1:$D$15,2,)</f>
        <v>2.5999999999999999E-3</v>
      </c>
      <c r="N166" s="13">
        <f t="shared" si="4"/>
        <v>13</v>
      </c>
    </row>
    <row r="167" spans="1:14" x14ac:dyDescent="0.25">
      <c r="A167" t="s">
        <v>10</v>
      </c>
      <c r="B167" t="s">
        <v>606</v>
      </c>
      <c r="C167" t="s">
        <v>12</v>
      </c>
      <c r="D167" t="s">
        <v>607</v>
      </c>
      <c r="E167" t="s">
        <v>608</v>
      </c>
      <c r="F167" t="s">
        <v>609</v>
      </c>
      <c r="G167" s="2">
        <v>5000</v>
      </c>
      <c r="H167" t="s">
        <v>605</v>
      </c>
      <c r="I167">
        <f t="shared" si="5"/>
        <v>4</v>
      </c>
      <c r="J167">
        <v>8.42</v>
      </c>
      <c r="K167">
        <v>42</v>
      </c>
      <c r="L167" t="str">
        <f>CONCATENATE('Fixed Deposit'!C167," ",'Fixed Deposit'!K167)</f>
        <v>Shriram Finance 42</v>
      </c>
      <c r="M167" s="12">
        <f>VLOOKUP(L167,'Commercials '!$C$1:$D$15,2,)</f>
        <v>1.0200000000000001E-2</v>
      </c>
      <c r="N167" s="13">
        <f t="shared" si="4"/>
        <v>51.000000000000007</v>
      </c>
    </row>
    <row r="168" spans="1:14" x14ac:dyDescent="0.25">
      <c r="A168" t="s">
        <v>10</v>
      </c>
      <c r="B168" t="s">
        <v>417</v>
      </c>
      <c r="C168" t="s">
        <v>12</v>
      </c>
      <c r="D168" t="s">
        <v>610</v>
      </c>
      <c r="E168" t="s">
        <v>611</v>
      </c>
      <c r="F168" t="s">
        <v>420</v>
      </c>
      <c r="G168" s="2">
        <v>11000</v>
      </c>
      <c r="H168" t="s">
        <v>605</v>
      </c>
      <c r="I168">
        <f t="shared" si="5"/>
        <v>4</v>
      </c>
      <c r="J168">
        <v>8.57</v>
      </c>
      <c r="K168">
        <v>50</v>
      </c>
      <c r="L168" t="str">
        <f>CONCATENATE('Fixed Deposit'!C168," ",'Fixed Deposit'!K168)</f>
        <v>Shriram Finance 50</v>
      </c>
      <c r="M168" s="12">
        <f>VLOOKUP(L168,'Commercials '!$C$1:$D$15,2,)</f>
        <v>1.11E-2</v>
      </c>
      <c r="N168" s="13">
        <f t="shared" si="4"/>
        <v>122.10000000000001</v>
      </c>
    </row>
    <row r="169" spans="1:14" x14ac:dyDescent="0.25">
      <c r="A169" t="s">
        <v>10</v>
      </c>
      <c r="B169" t="s">
        <v>417</v>
      </c>
      <c r="C169" t="s">
        <v>12</v>
      </c>
      <c r="D169" t="s">
        <v>612</v>
      </c>
      <c r="E169" t="s">
        <v>613</v>
      </c>
      <c r="F169" t="s">
        <v>420</v>
      </c>
      <c r="G169" s="2">
        <v>11000</v>
      </c>
      <c r="H169" t="s">
        <v>614</v>
      </c>
      <c r="I169">
        <f t="shared" si="5"/>
        <v>4</v>
      </c>
      <c r="J169">
        <v>7.69</v>
      </c>
      <c r="K169">
        <v>12</v>
      </c>
      <c r="L169" t="str">
        <f>CONCATENATE('Fixed Deposit'!C169," ",'Fixed Deposit'!K169)</f>
        <v>Shriram Finance 12</v>
      </c>
      <c r="M169" s="12">
        <f>VLOOKUP(L169,'Commercials '!$C$1:$D$15,2,)</f>
        <v>2.5999999999999999E-3</v>
      </c>
      <c r="N169" s="13">
        <f t="shared" si="4"/>
        <v>28.599999999999998</v>
      </c>
    </row>
    <row r="170" spans="1:14" x14ac:dyDescent="0.25">
      <c r="A170" t="s">
        <v>10</v>
      </c>
      <c r="B170" t="s">
        <v>615</v>
      </c>
      <c r="C170" t="s">
        <v>12</v>
      </c>
      <c r="D170" t="s">
        <v>616</v>
      </c>
      <c r="E170" t="s">
        <v>617</v>
      </c>
      <c r="F170" t="s">
        <v>618</v>
      </c>
      <c r="G170" s="2">
        <v>25000</v>
      </c>
      <c r="H170" t="s">
        <v>614</v>
      </c>
      <c r="I170">
        <f t="shared" si="5"/>
        <v>4</v>
      </c>
      <c r="J170">
        <v>8.4700000000000006</v>
      </c>
      <c r="K170">
        <v>50</v>
      </c>
      <c r="L170" t="str">
        <f>CONCATENATE('Fixed Deposit'!C170," ",'Fixed Deposit'!K170)</f>
        <v>Shriram Finance 50</v>
      </c>
      <c r="M170" s="12">
        <f>VLOOKUP(L170,'Commercials '!$C$1:$D$15,2,)</f>
        <v>1.11E-2</v>
      </c>
      <c r="N170" s="13">
        <f t="shared" si="4"/>
        <v>277.5</v>
      </c>
    </row>
    <row r="171" spans="1:14" x14ac:dyDescent="0.25">
      <c r="A171" t="s">
        <v>10</v>
      </c>
      <c r="B171" t="s">
        <v>619</v>
      </c>
      <c r="C171" t="s">
        <v>12</v>
      </c>
      <c r="D171" t="s">
        <v>620</v>
      </c>
      <c r="E171" t="s">
        <v>621</v>
      </c>
      <c r="F171" t="s">
        <v>622</v>
      </c>
      <c r="G171" s="2">
        <v>20000</v>
      </c>
      <c r="H171" t="s">
        <v>623</v>
      </c>
      <c r="I171">
        <f t="shared" si="5"/>
        <v>4</v>
      </c>
      <c r="J171">
        <v>7.73</v>
      </c>
      <c r="K171">
        <v>18</v>
      </c>
      <c r="L171" t="str">
        <f>CONCATENATE('Fixed Deposit'!C171," ",'Fixed Deposit'!K171)</f>
        <v>Shriram Finance 18</v>
      </c>
      <c r="M171" s="12">
        <f>VLOOKUP(L171,'Commercials '!$C$1:$D$15,2,)</f>
        <v>2.5999999999999999E-3</v>
      </c>
      <c r="N171" s="13">
        <f t="shared" si="4"/>
        <v>52</v>
      </c>
    </row>
    <row r="172" spans="1:14" x14ac:dyDescent="0.25">
      <c r="A172" t="s">
        <v>10</v>
      </c>
      <c r="B172" t="s">
        <v>619</v>
      </c>
      <c r="C172" t="s">
        <v>12</v>
      </c>
      <c r="D172" t="s">
        <v>624</v>
      </c>
      <c r="E172" t="s">
        <v>625</v>
      </c>
      <c r="F172" t="s">
        <v>622</v>
      </c>
      <c r="G172" s="2">
        <v>15000</v>
      </c>
      <c r="H172" t="s">
        <v>623</v>
      </c>
      <c r="I172">
        <f t="shared" si="5"/>
        <v>4</v>
      </c>
      <c r="J172">
        <v>7.73</v>
      </c>
      <c r="K172">
        <v>18</v>
      </c>
      <c r="L172" t="str">
        <f>CONCATENATE('Fixed Deposit'!C172," ",'Fixed Deposit'!K172)</f>
        <v>Shriram Finance 18</v>
      </c>
      <c r="M172" s="12">
        <f>VLOOKUP(L172,'Commercials '!$C$1:$D$15,2,)</f>
        <v>2.5999999999999999E-3</v>
      </c>
      <c r="N172" s="13">
        <f t="shared" si="4"/>
        <v>39</v>
      </c>
    </row>
    <row r="173" spans="1:14" x14ac:dyDescent="0.25">
      <c r="A173" t="s">
        <v>10</v>
      </c>
      <c r="B173" t="s">
        <v>585</v>
      </c>
      <c r="C173" t="s">
        <v>12</v>
      </c>
      <c r="D173" t="s">
        <v>626</v>
      </c>
      <c r="E173" t="s">
        <v>627</v>
      </c>
      <c r="F173" t="s">
        <v>588</v>
      </c>
      <c r="G173" s="2">
        <v>6000</v>
      </c>
      <c r="H173" t="s">
        <v>623</v>
      </c>
      <c r="I173">
        <f t="shared" si="5"/>
        <v>4</v>
      </c>
      <c r="J173">
        <v>7.87</v>
      </c>
      <c r="K173">
        <v>24</v>
      </c>
      <c r="L173" t="str">
        <f>CONCATENATE('Fixed Deposit'!C173," ",'Fixed Deposit'!K173)</f>
        <v>Shriram Finance 24</v>
      </c>
      <c r="M173" s="12">
        <f>VLOOKUP(L173,'Commercials '!$C$1:$D$15,2,)</f>
        <v>5.1000000000000004E-3</v>
      </c>
      <c r="N173" s="13">
        <f t="shared" si="4"/>
        <v>30.6</v>
      </c>
    </row>
    <row r="174" spans="1:14" x14ac:dyDescent="0.25">
      <c r="A174" t="s">
        <v>10</v>
      </c>
      <c r="B174" t="s">
        <v>433</v>
      </c>
      <c r="C174" t="s">
        <v>12</v>
      </c>
      <c r="D174" t="s">
        <v>628</v>
      </c>
      <c r="E174" t="s">
        <v>629</v>
      </c>
      <c r="F174" t="s">
        <v>436</v>
      </c>
      <c r="G174" s="2">
        <v>10000</v>
      </c>
      <c r="H174" t="s">
        <v>623</v>
      </c>
      <c r="I174">
        <f t="shared" si="5"/>
        <v>4</v>
      </c>
      <c r="J174">
        <v>7.69</v>
      </c>
      <c r="K174">
        <v>12</v>
      </c>
      <c r="L174" t="str">
        <f>CONCATENATE('Fixed Deposit'!C174," ",'Fixed Deposit'!K174)</f>
        <v>Shriram Finance 12</v>
      </c>
      <c r="M174" s="12">
        <f>VLOOKUP(L174,'Commercials '!$C$1:$D$15,2,)</f>
        <v>2.5999999999999999E-3</v>
      </c>
      <c r="N174" s="13">
        <f t="shared" si="4"/>
        <v>26</v>
      </c>
    </row>
    <row r="175" spans="1:14" x14ac:dyDescent="0.25">
      <c r="A175" t="s">
        <v>10</v>
      </c>
      <c r="B175" t="s">
        <v>270</v>
      </c>
      <c r="C175" t="s">
        <v>12</v>
      </c>
      <c r="D175" t="s">
        <v>630</v>
      </c>
      <c r="E175" t="s">
        <v>631</v>
      </c>
      <c r="F175" t="s">
        <v>273</v>
      </c>
      <c r="G175" s="2">
        <v>12000</v>
      </c>
      <c r="H175" t="s">
        <v>623</v>
      </c>
      <c r="I175">
        <f t="shared" si="5"/>
        <v>4</v>
      </c>
      <c r="J175">
        <v>7.87</v>
      </c>
      <c r="K175">
        <v>24</v>
      </c>
      <c r="L175" t="str">
        <f>CONCATENATE('Fixed Deposit'!C175," ",'Fixed Deposit'!K175)</f>
        <v>Shriram Finance 24</v>
      </c>
      <c r="M175" s="12">
        <f>VLOOKUP(L175,'Commercials '!$C$1:$D$15,2,)</f>
        <v>5.1000000000000004E-3</v>
      </c>
      <c r="N175" s="13">
        <f t="shared" si="4"/>
        <v>61.2</v>
      </c>
    </row>
    <row r="176" spans="1:14" x14ac:dyDescent="0.25">
      <c r="A176" t="s">
        <v>10</v>
      </c>
      <c r="B176" t="s">
        <v>417</v>
      </c>
      <c r="C176" t="s">
        <v>12</v>
      </c>
      <c r="D176" t="s">
        <v>632</v>
      </c>
      <c r="E176" t="s">
        <v>633</v>
      </c>
      <c r="F176" t="s">
        <v>420</v>
      </c>
      <c r="G176" s="2">
        <v>11000</v>
      </c>
      <c r="H176" t="s">
        <v>634</v>
      </c>
      <c r="I176">
        <f t="shared" si="5"/>
        <v>4</v>
      </c>
      <c r="J176">
        <v>7.69</v>
      </c>
      <c r="K176">
        <v>12</v>
      </c>
      <c r="L176" t="str">
        <f>CONCATENATE('Fixed Deposit'!C176," ",'Fixed Deposit'!K176)</f>
        <v>Shriram Finance 12</v>
      </c>
      <c r="M176" s="12">
        <f>VLOOKUP(L176,'Commercials '!$C$1:$D$15,2,)</f>
        <v>2.5999999999999999E-3</v>
      </c>
      <c r="N176" s="13">
        <f t="shared" si="4"/>
        <v>28.599999999999998</v>
      </c>
    </row>
    <row r="177" spans="1:14" x14ac:dyDescent="0.25">
      <c r="A177" t="s">
        <v>10</v>
      </c>
      <c r="B177" t="s">
        <v>635</v>
      </c>
      <c r="C177" t="s">
        <v>12</v>
      </c>
      <c r="D177" t="s">
        <v>636</v>
      </c>
      <c r="E177" t="s">
        <v>637</v>
      </c>
      <c r="F177" t="s">
        <v>638</v>
      </c>
      <c r="G177" s="2">
        <v>25000</v>
      </c>
      <c r="H177" t="s">
        <v>639</v>
      </c>
      <c r="I177">
        <f t="shared" si="5"/>
        <v>4</v>
      </c>
      <c r="J177">
        <v>8.57</v>
      </c>
      <c r="K177">
        <v>50</v>
      </c>
      <c r="L177" t="str">
        <f>CONCATENATE('Fixed Deposit'!C177," ",'Fixed Deposit'!K177)</f>
        <v>Shriram Finance 50</v>
      </c>
      <c r="M177" s="12">
        <f>VLOOKUP(L177,'Commercials '!$C$1:$D$15,2,)</f>
        <v>1.11E-2</v>
      </c>
      <c r="N177" s="13">
        <f t="shared" si="4"/>
        <v>277.5</v>
      </c>
    </row>
    <row r="178" spans="1:14" x14ac:dyDescent="0.25">
      <c r="A178" t="s">
        <v>10</v>
      </c>
      <c r="B178" t="s">
        <v>261</v>
      </c>
      <c r="C178" t="s">
        <v>12</v>
      </c>
      <c r="D178" t="s">
        <v>640</v>
      </c>
      <c r="E178" t="s">
        <v>641</v>
      </c>
      <c r="F178" t="s">
        <v>264</v>
      </c>
      <c r="G178" s="2">
        <v>50000</v>
      </c>
      <c r="H178" t="s">
        <v>642</v>
      </c>
      <c r="I178">
        <f t="shared" si="5"/>
        <v>4</v>
      </c>
      <c r="J178">
        <v>7.59</v>
      </c>
      <c r="K178">
        <v>12</v>
      </c>
      <c r="L178" t="str">
        <f>CONCATENATE('Fixed Deposit'!C178," ",'Fixed Deposit'!K178)</f>
        <v>Shriram Finance 12</v>
      </c>
      <c r="M178" s="12">
        <f>VLOOKUP(L178,'Commercials '!$C$1:$D$15,2,)</f>
        <v>2.5999999999999999E-3</v>
      </c>
      <c r="N178" s="13">
        <f t="shared" si="4"/>
        <v>130</v>
      </c>
    </row>
    <row r="179" spans="1:14" x14ac:dyDescent="0.25">
      <c r="A179" t="s">
        <v>10</v>
      </c>
      <c r="B179" t="s">
        <v>131</v>
      </c>
      <c r="C179" t="s">
        <v>12</v>
      </c>
      <c r="D179" t="s">
        <v>643</v>
      </c>
      <c r="E179" t="s">
        <v>644</v>
      </c>
      <c r="F179" t="s">
        <v>134</v>
      </c>
      <c r="G179" s="2">
        <v>20000</v>
      </c>
      <c r="H179" t="s">
        <v>642</v>
      </c>
      <c r="I179">
        <f t="shared" si="5"/>
        <v>4</v>
      </c>
      <c r="J179">
        <v>7.59</v>
      </c>
      <c r="K179">
        <v>12</v>
      </c>
      <c r="L179" t="str">
        <f>CONCATENATE('Fixed Deposit'!C179," ",'Fixed Deposit'!K179)</f>
        <v>Shriram Finance 12</v>
      </c>
      <c r="M179" s="12">
        <f>VLOOKUP(L179,'Commercials '!$C$1:$D$15,2,)</f>
        <v>2.5999999999999999E-3</v>
      </c>
      <c r="N179" s="13">
        <f t="shared" si="4"/>
        <v>52</v>
      </c>
    </row>
    <row r="180" spans="1:14" x14ac:dyDescent="0.25">
      <c r="A180" t="s">
        <v>10</v>
      </c>
      <c r="B180" t="s">
        <v>645</v>
      </c>
      <c r="C180" t="s">
        <v>12</v>
      </c>
      <c r="D180" t="s">
        <v>646</v>
      </c>
      <c r="E180" t="s">
        <v>647</v>
      </c>
      <c r="F180" t="s">
        <v>648</v>
      </c>
      <c r="G180" s="2">
        <v>50000</v>
      </c>
      <c r="H180" t="s">
        <v>649</v>
      </c>
      <c r="I180">
        <f t="shared" si="5"/>
        <v>4</v>
      </c>
      <c r="J180">
        <v>7.59</v>
      </c>
      <c r="K180">
        <v>12</v>
      </c>
      <c r="L180" t="str">
        <f>CONCATENATE('Fixed Deposit'!C180," ",'Fixed Deposit'!K180)</f>
        <v>Shriram Finance 12</v>
      </c>
      <c r="M180" s="12">
        <f>VLOOKUP(L180,'Commercials '!$C$1:$D$15,2,)</f>
        <v>2.5999999999999999E-3</v>
      </c>
      <c r="N180" s="13">
        <f t="shared" si="4"/>
        <v>130</v>
      </c>
    </row>
    <row r="181" spans="1:14" x14ac:dyDescent="0.25">
      <c r="A181" t="s">
        <v>10</v>
      </c>
      <c r="B181" t="s">
        <v>585</v>
      </c>
      <c r="C181" t="s">
        <v>12</v>
      </c>
      <c r="D181" t="s">
        <v>650</v>
      </c>
      <c r="E181" t="s">
        <v>651</v>
      </c>
      <c r="F181" t="s">
        <v>588</v>
      </c>
      <c r="G181" s="2">
        <v>6000</v>
      </c>
      <c r="H181" t="s">
        <v>649</v>
      </c>
      <c r="I181">
        <f t="shared" si="5"/>
        <v>4</v>
      </c>
      <c r="J181">
        <v>7.87</v>
      </c>
      <c r="K181">
        <v>24</v>
      </c>
      <c r="L181" t="str">
        <f>CONCATENATE('Fixed Deposit'!C181," ",'Fixed Deposit'!K181)</f>
        <v>Shriram Finance 24</v>
      </c>
      <c r="M181" s="12">
        <f>VLOOKUP(L181,'Commercials '!$C$1:$D$15,2,)</f>
        <v>5.1000000000000004E-3</v>
      </c>
      <c r="N181" s="13">
        <f t="shared" si="4"/>
        <v>30.6</v>
      </c>
    </row>
    <row r="182" spans="1:14" x14ac:dyDescent="0.25">
      <c r="A182" t="s">
        <v>10</v>
      </c>
      <c r="B182" t="s">
        <v>417</v>
      </c>
      <c r="C182" t="s">
        <v>12</v>
      </c>
      <c r="D182" t="s">
        <v>652</v>
      </c>
      <c r="E182" t="s">
        <v>653</v>
      </c>
      <c r="F182" t="s">
        <v>420</v>
      </c>
      <c r="G182" s="2">
        <v>11000</v>
      </c>
      <c r="H182" t="s">
        <v>649</v>
      </c>
      <c r="I182">
        <f t="shared" si="5"/>
        <v>4</v>
      </c>
      <c r="J182">
        <v>8.57</v>
      </c>
      <c r="K182">
        <v>50</v>
      </c>
      <c r="L182" t="str">
        <f>CONCATENATE('Fixed Deposit'!C182," ",'Fixed Deposit'!K182)</f>
        <v>Shriram Finance 50</v>
      </c>
      <c r="M182" s="12">
        <f>VLOOKUP(L182,'Commercials '!$C$1:$D$15,2,)</f>
        <v>1.11E-2</v>
      </c>
      <c r="N182" s="13">
        <f t="shared" si="4"/>
        <v>122.10000000000001</v>
      </c>
    </row>
    <row r="183" spans="1:14" x14ac:dyDescent="0.25">
      <c r="A183" t="s">
        <v>10</v>
      </c>
      <c r="B183" t="s">
        <v>131</v>
      </c>
      <c r="C183" t="s">
        <v>12</v>
      </c>
      <c r="D183" t="s">
        <v>654</v>
      </c>
      <c r="E183" t="s">
        <v>655</v>
      </c>
      <c r="F183" t="s">
        <v>134</v>
      </c>
      <c r="G183" s="2">
        <v>20000</v>
      </c>
      <c r="H183" t="s">
        <v>656</v>
      </c>
      <c r="I183">
        <f t="shared" si="5"/>
        <v>4</v>
      </c>
      <c r="J183">
        <v>7.59</v>
      </c>
      <c r="K183">
        <v>12</v>
      </c>
      <c r="L183" t="str">
        <f>CONCATENATE('Fixed Deposit'!C183," ",'Fixed Deposit'!K183)</f>
        <v>Shriram Finance 12</v>
      </c>
      <c r="M183" s="12">
        <f>VLOOKUP(L183,'Commercials '!$C$1:$D$15,2,)</f>
        <v>2.5999999999999999E-3</v>
      </c>
      <c r="N183" s="13">
        <f t="shared" si="4"/>
        <v>52</v>
      </c>
    </row>
    <row r="184" spans="1:14" x14ac:dyDescent="0.25">
      <c r="A184" t="s">
        <v>10</v>
      </c>
      <c r="B184" t="s">
        <v>657</v>
      </c>
      <c r="C184" t="s">
        <v>12</v>
      </c>
      <c r="D184" t="s">
        <v>658</v>
      </c>
      <c r="E184" t="s">
        <v>659</v>
      </c>
      <c r="F184" t="s">
        <v>660</v>
      </c>
      <c r="G184" s="2">
        <v>5000</v>
      </c>
      <c r="H184" t="s">
        <v>656</v>
      </c>
      <c r="I184">
        <f t="shared" si="5"/>
        <v>4</v>
      </c>
      <c r="J184">
        <v>7.59</v>
      </c>
      <c r="K184">
        <v>12</v>
      </c>
      <c r="L184" t="str">
        <f>CONCATENATE('Fixed Deposit'!C184," ",'Fixed Deposit'!K184)</f>
        <v>Shriram Finance 12</v>
      </c>
      <c r="M184" s="12">
        <f>VLOOKUP(L184,'Commercials '!$C$1:$D$15,2,)</f>
        <v>2.5999999999999999E-3</v>
      </c>
      <c r="N184" s="13">
        <f t="shared" si="4"/>
        <v>13</v>
      </c>
    </row>
    <row r="185" spans="1:14" x14ac:dyDescent="0.25">
      <c r="A185" t="s">
        <v>10</v>
      </c>
      <c r="B185" t="s">
        <v>661</v>
      </c>
      <c r="C185" t="s">
        <v>31</v>
      </c>
      <c r="D185" t="s">
        <v>662</v>
      </c>
      <c r="E185" t="s">
        <v>663</v>
      </c>
      <c r="F185" t="s">
        <v>664</v>
      </c>
      <c r="G185" s="2">
        <v>20000</v>
      </c>
      <c r="H185" t="s">
        <v>665</v>
      </c>
      <c r="I185">
        <f t="shared" si="5"/>
        <v>4</v>
      </c>
      <c r="J185">
        <v>8</v>
      </c>
      <c r="K185">
        <v>18</v>
      </c>
      <c r="L185" t="str">
        <f>CONCATENATE('Fixed Deposit'!C185," ",'Fixed Deposit'!K185)</f>
        <v>Bajaj Finance Ltd 18</v>
      </c>
      <c r="M185" s="12">
        <f>VLOOKUP(L185,'Commercials '!$C$1:$D$15,2,)</f>
        <v>4.7000000000000002E-3</v>
      </c>
      <c r="N185" s="13">
        <f t="shared" si="4"/>
        <v>94</v>
      </c>
    </row>
    <row r="186" spans="1:14" x14ac:dyDescent="0.25">
      <c r="A186" t="s">
        <v>10</v>
      </c>
      <c r="B186" t="s">
        <v>666</v>
      </c>
      <c r="C186" t="s">
        <v>31</v>
      </c>
      <c r="D186" t="s">
        <v>667</v>
      </c>
      <c r="E186" t="s">
        <v>668</v>
      </c>
      <c r="F186" t="s">
        <v>669</v>
      </c>
      <c r="G186" s="2">
        <v>15000</v>
      </c>
      <c r="H186" t="s">
        <v>670</v>
      </c>
      <c r="I186">
        <f t="shared" si="5"/>
        <v>3</v>
      </c>
      <c r="J186">
        <v>8.4499999999999993</v>
      </c>
      <c r="K186">
        <v>44</v>
      </c>
      <c r="L186" t="str">
        <f>CONCATENATE('Fixed Deposit'!C186," ",'Fixed Deposit'!K186)</f>
        <v>Bajaj Finance Ltd 44</v>
      </c>
      <c r="M186" s="12">
        <v>9.7999999999999997E-3</v>
      </c>
      <c r="N186" s="13">
        <f t="shared" si="4"/>
        <v>147</v>
      </c>
    </row>
    <row r="187" spans="1:14" x14ac:dyDescent="0.25">
      <c r="A187" t="s">
        <v>10</v>
      </c>
      <c r="B187" t="s">
        <v>163</v>
      </c>
      <c r="C187" t="s">
        <v>12</v>
      </c>
      <c r="D187" t="s">
        <v>671</v>
      </c>
      <c r="E187" t="s">
        <v>672</v>
      </c>
      <c r="F187" t="s">
        <v>166</v>
      </c>
      <c r="G187" s="2">
        <v>5000</v>
      </c>
      <c r="H187" t="s">
        <v>673</v>
      </c>
      <c r="I187">
        <f t="shared" si="5"/>
        <v>3</v>
      </c>
      <c r="J187">
        <v>8.8000000000000007</v>
      </c>
      <c r="K187">
        <v>60</v>
      </c>
      <c r="L187" t="str">
        <f>CONCATENATE('Fixed Deposit'!C187," ",'Fixed Deposit'!K187)</f>
        <v>Shriram Finance 60</v>
      </c>
      <c r="M187" s="12">
        <f>VLOOKUP(L187,'Commercials '!$C$1:$D$15,2,)</f>
        <v>1.1900000000000001E-2</v>
      </c>
      <c r="N187" s="13">
        <f t="shared" si="4"/>
        <v>59.500000000000007</v>
      </c>
    </row>
    <row r="188" spans="1:14" x14ac:dyDescent="0.25">
      <c r="A188" t="s">
        <v>10</v>
      </c>
      <c r="B188" t="s">
        <v>52</v>
      </c>
      <c r="C188" t="s">
        <v>12</v>
      </c>
      <c r="D188" t="s">
        <v>674</v>
      </c>
      <c r="E188" t="s">
        <v>675</v>
      </c>
      <c r="F188" t="s">
        <v>336</v>
      </c>
      <c r="G188" s="2">
        <v>20000</v>
      </c>
      <c r="H188" t="s">
        <v>676</v>
      </c>
      <c r="I188">
        <f t="shared" si="5"/>
        <v>3</v>
      </c>
      <c r="J188">
        <v>7.59</v>
      </c>
      <c r="K188">
        <v>12</v>
      </c>
      <c r="L188" t="str">
        <f>CONCATENATE('Fixed Deposit'!C188," ",'Fixed Deposit'!K188)</f>
        <v>Shriram Finance 12</v>
      </c>
      <c r="M188" s="12">
        <f>VLOOKUP(L188,'Commercials '!$C$1:$D$15,2,)</f>
        <v>2.5999999999999999E-3</v>
      </c>
      <c r="N188" s="13">
        <f t="shared" si="4"/>
        <v>52</v>
      </c>
    </row>
    <row r="189" spans="1:14" x14ac:dyDescent="0.25">
      <c r="A189" t="s">
        <v>10</v>
      </c>
      <c r="B189" t="s">
        <v>169</v>
      </c>
      <c r="C189" t="s">
        <v>12</v>
      </c>
      <c r="D189" t="s">
        <v>677</v>
      </c>
      <c r="E189" t="s">
        <v>678</v>
      </c>
      <c r="F189" t="s">
        <v>172</v>
      </c>
      <c r="G189" s="2">
        <v>200000</v>
      </c>
      <c r="H189" t="s">
        <v>679</v>
      </c>
      <c r="I189">
        <f t="shared" si="5"/>
        <v>3</v>
      </c>
      <c r="J189">
        <v>8.57</v>
      </c>
      <c r="K189">
        <v>60</v>
      </c>
      <c r="L189" t="str">
        <f>CONCATENATE('Fixed Deposit'!C189," ",'Fixed Deposit'!K189)</f>
        <v>Shriram Finance 60</v>
      </c>
      <c r="M189" s="12">
        <f>VLOOKUP(L189,'Commercials '!$C$1:$D$15,2,)</f>
        <v>1.1900000000000001E-2</v>
      </c>
      <c r="N189" s="13">
        <f t="shared" si="4"/>
        <v>2380</v>
      </c>
    </row>
    <row r="190" spans="1:14" x14ac:dyDescent="0.25">
      <c r="A190" t="s">
        <v>10</v>
      </c>
      <c r="B190" t="s">
        <v>318</v>
      </c>
      <c r="C190" t="s">
        <v>12</v>
      </c>
      <c r="D190" t="s">
        <v>680</v>
      </c>
      <c r="E190" t="s">
        <v>681</v>
      </c>
      <c r="F190" t="s">
        <v>321</v>
      </c>
      <c r="G190" s="2">
        <v>5000</v>
      </c>
      <c r="H190" t="s">
        <v>682</v>
      </c>
      <c r="I190">
        <f t="shared" si="5"/>
        <v>3</v>
      </c>
      <c r="J190">
        <v>8.4700000000000006</v>
      </c>
      <c r="K190">
        <v>50</v>
      </c>
      <c r="L190" t="str">
        <f>CONCATENATE('Fixed Deposit'!C190," ",'Fixed Deposit'!K190)</f>
        <v>Shriram Finance 50</v>
      </c>
      <c r="M190" s="12">
        <f>VLOOKUP(L190,'Commercials '!$C$1:$D$15,2,)</f>
        <v>1.11E-2</v>
      </c>
      <c r="N190" s="13">
        <f t="shared" si="4"/>
        <v>55.5</v>
      </c>
    </row>
    <row r="191" spans="1:14" x14ac:dyDescent="0.25">
      <c r="A191" t="s">
        <v>10</v>
      </c>
      <c r="B191" t="s">
        <v>683</v>
      </c>
      <c r="C191" t="s">
        <v>12</v>
      </c>
      <c r="D191" t="s">
        <v>684</v>
      </c>
      <c r="E191" t="s">
        <v>685</v>
      </c>
      <c r="F191" t="s">
        <v>686</v>
      </c>
      <c r="G191" s="2">
        <v>90000</v>
      </c>
      <c r="H191" t="s">
        <v>682</v>
      </c>
      <c r="I191">
        <f t="shared" si="5"/>
        <v>3</v>
      </c>
      <c r="J191">
        <v>8.4700000000000006</v>
      </c>
      <c r="K191">
        <v>50</v>
      </c>
      <c r="L191" t="str">
        <f>CONCATENATE('Fixed Deposit'!C191," ",'Fixed Deposit'!K191)</f>
        <v>Shriram Finance 50</v>
      </c>
      <c r="M191" s="12">
        <f>VLOOKUP(L191,'Commercials '!$C$1:$D$15,2,)</f>
        <v>1.11E-2</v>
      </c>
      <c r="N191" s="13">
        <f t="shared" si="4"/>
        <v>999</v>
      </c>
    </row>
    <row r="192" spans="1:14" x14ac:dyDescent="0.25">
      <c r="A192" t="s">
        <v>10</v>
      </c>
      <c r="B192" t="s">
        <v>318</v>
      </c>
      <c r="C192" t="s">
        <v>12</v>
      </c>
      <c r="D192" t="s">
        <v>687</v>
      </c>
      <c r="E192" t="s">
        <v>688</v>
      </c>
      <c r="F192" t="s">
        <v>321</v>
      </c>
      <c r="G192" s="2">
        <v>5000</v>
      </c>
      <c r="H192" t="s">
        <v>689</v>
      </c>
      <c r="I192">
        <f t="shared" si="5"/>
        <v>3</v>
      </c>
      <c r="J192">
        <v>8.4700000000000006</v>
      </c>
      <c r="K192">
        <v>50</v>
      </c>
      <c r="L192" t="str">
        <f>CONCATENATE('Fixed Deposit'!C192," ",'Fixed Deposit'!K192)</f>
        <v>Shriram Finance 50</v>
      </c>
      <c r="M192" s="12">
        <f>VLOOKUP(L192,'Commercials '!$C$1:$D$15,2,)</f>
        <v>1.11E-2</v>
      </c>
      <c r="N192" s="13">
        <f t="shared" si="4"/>
        <v>55.5</v>
      </c>
    </row>
    <row r="193" spans="1:14" x14ac:dyDescent="0.25">
      <c r="A193" t="s">
        <v>10</v>
      </c>
      <c r="B193" t="s">
        <v>690</v>
      </c>
      <c r="C193" t="s">
        <v>12</v>
      </c>
      <c r="D193" t="s">
        <v>691</v>
      </c>
      <c r="E193" t="s">
        <v>692</v>
      </c>
      <c r="F193" t="s">
        <v>693</v>
      </c>
      <c r="G193" s="2">
        <v>5000</v>
      </c>
      <c r="H193" t="s">
        <v>689</v>
      </c>
      <c r="I193">
        <f t="shared" si="5"/>
        <v>3</v>
      </c>
      <c r="J193">
        <v>8.3800000000000008</v>
      </c>
      <c r="K193">
        <v>36</v>
      </c>
      <c r="L193" t="str">
        <f>CONCATENATE('Fixed Deposit'!C193," ",'Fixed Deposit'!K193)</f>
        <v>Shriram Finance 36</v>
      </c>
      <c r="M193" s="12">
        <f>VLOOKUP(L193,'Commercials '!$C$1:$D$15,2,)</f>
        <v>1.0200000000000001E-2</v>
      </c>
      <c r="N193" s="13">
        <f t="shared" si="4"/>
        <v>51.000000000000007</v>
      </c>
    </row>
    <row r="194" spans="1:14" x14ac:dyDescent="0.25">
      <c r="A194" t="s">
        <v>10</v>
      </c>
      <c r="B194" t="s">
        <v>694</v>
      </c>
      <c r="C194" t="s">
        <v>31</v>
      </c>
      <c r="D194" t="s">
        <v>695</v>
      </c>
      <c r="E194" t="s">
        <v>696</v>
      </c>
      <c r="F194" t="s">
        <v>697</v>
      </c>
      <c r="G194" s="2">
        <v>95000</v>
      </c>
      <c r="H194" t="s">
        <v>698</v>
      </c>
      <c r="I194">
        <f t="shared" si="5"/>
        <v>3</v>
      </c>
      <c r="J194">
        <v>7.4</v>
      </c>
      <c r="K194">
        <v>12</v>
      </c>
      <c r="L194" t="str">
        <f>CONCATENATE('Fixed Deposit'!C194," ",'Fixed Deposit'!K194)</f>
        <v>Bajaj Finance Ltd 12</v>
      </c>
      <c r="M194" s="12">
        <f>VLOOKUP(L194,'Commercials '!$C$1:$D$15,2,)</f>
        <v>4.7000000000000002E-3</v>
      </c>
      <c r="N194" s="13">
        <f t="shared" ref="N194:N257" si="6">G194*M194</f>
        <v>446.5</v>
      </c>
    </row>
    <row r="195" spans="1:14" x14ac:dyDescent="0.25">
      <c r="A195" t="s">
        <v>10</v>
      </c>
      <c r="B195" t="s">
        <v>699</v>
      </c>
      <c r="C195" t="s">
        <v>12</v>
      </c>
      <c r="D195" t="s">
        <v>700</v>
      </c>
      <c r="E195" t="s">
        <v>701</v>
      </c>
      <c r="F195" t="s">
        <v>702</v>
      </c>
      <c r="G195" s="2">
        <v>11000</v>
      </c>
      <c r="H195" t="s">
        <v>703</v>
      </c>
      <c r="I195">
        <f t="shared" ref="I195:I258" si="7">MONTH(H195)</f>
        <v>3</v>
      </c>
      <c r="J195">
        <v>7.69</v>
      </c>
      <c r="K195">
        <v>12</v>
      </c>
      <c r="L195" t="str">
        <f>CONCATENATE('Fixed Deposit'!C195," ",'Fixed Deposit'!K195)</f>
        <v>Shriram Finance 12</v>
      </c>
      <c r="M195" s="12">
        <f>VLOOKUP(L195,'Commercials '!$C$1:$D$15,2,)</f>
        <v>2.5999999999999999E-3</v>
      </c>
      <c r="N195" s="13">
        <f t="shared" si="6"/>
        <v>28.599999999999998</v>
      </c>
    </row>
    <row r="196" spans="1:14" x14ac:dyDescent="0.25">
      <c r="A196" t="s">
        <v>10</v>
      </c>
      <c r="B196" t="s">
        <v>704</v>
      </c>
      <c r="C196" t="s">
        <v>12</v>
      </c>
      <c r="D196" t="s">
        <v>705</v>
      </c>
      <c r="E196" t="s">
        <v>706</v>
      </c>
      <c r="F196" t="s">
        <v>707</v>
      </c>
      <c r="G196" s="2">
        <v>5000</v>
      </c>
      <c r="H196" t="s">
        <v>703</v>
      </c>
      <c r="I196">
        <f t="shared" si="7"/>
        <v>3</v>
      </c>
      <c r="J196">
        <v>7.59</v>
      </c>
      <c r="K196">
        <v>12</v>
      </c>
      <c r="L196" t="str">
        <f>CONCATENATE('Fixed Deposit'!C196," ",'Fixed Deposit'!K196)</f>
        <v>Shriram Finance 12</v>
      </c>
      <c r="M196" s="12">
        <f>VLOOKUP(L196,'Commercials '!$C$1:$D$15,2,)</f>
        <v>2.5999999999999999E-3</v>
      </c>
      <c r="N196" s="13">
        <f t="shared" si="6"/>
        <v>13</v>
      </c>
    </row>
    <row r="197" spans="1:14" x14ac:dyDescent="0.25">
      <c r="A197" t="s">
        <v>10</v>
      </c>
      <c r="B197" t="s">
        <v>708</v>
      </c>
      <c r="C197" t="s">
        <v>12</v>
      </c>
      <c r="D197" t="s">
        <v>709</v>
      </c>
      <c r="E197" t="s">
        <v>710</v>
      </c>
      <c r="F197" t="s">
        <v>711</v>
      </c>
      <c r="G197" s="2">
        <v>20000</v>
      </c>
      <c r="H197" t="s">
        <v>703</v>
      </c>
      <c r="I197">
        <f t="shared" si="7"/>
        <v>3</v>
      </c>
      <c r="J197">
        <v>8.4700000000000006</v>
      </c>
      <c r="K197">
        <v>50</v>
      </c>
      <c r="L197" t="str">
        <f>CONCATENATE('Fixed Deposit'!C197," ",'Fixed Deposit'!K197)</f>
        <v>Shriram Finance 50</v>
      </c>
      <c r="M197" s="12">
        <f>VLOOKUP(L197,'Commercials '!$C$1:$D$15,2,)</f>
        <v>1.11E-2</v>
      </c>
      <c r="N197" s="13">
        <f t="shared" si="6"/>
        <v>222</v>
      </c>
    </row>
    <row r="198" spans="1:14" x14ac:dyDescent="0.25">
      <c r="A198" t="s">
        <v>10</v>
      </c>
      <c r="B198" t="s">
        <v>193</v>
      </c>
      <c r="C198" t="s">
        <v>12</v>
      </c>
      <c r="D198" t="s">
        <v>712</v>
      </c>
      <c r="E198" t="s">
        <v>713</v>
      </c>
      <c r="F198" t="s">
        <v>196</v>
      </c>
      <c r="G198" s="2">
        <v>10000</v>
      </c>
      <c r="H198" t="s">
        <v>714</v>
      </c>
      <c r="I198">
        <f t="shared" si="7"/>
        <v>3</v>
      </c>
      <c r="J198">
        <v>8.4700000000000006</v>
      </c>
      <c r="K198">
        <v>50</v>
      </c>
      <c r="L198" t="str">
        <f>CONCATENATE('Fixed Deposit'!C198," ",'Fixed Deposit'!K198)</f>
        <v>Shriram Finance 50</v>
      </c>
      <c r="M198" s="12">
        <f>VLOOKUP(L198,'Commercials '!$C$1:$D$15,2,)</f>
        <v>1.11E-2</v>
      </c>
      <c r="N198" s="13">
        <f t="shared" si="6"/>
        <v>111</v>
      </c>
    </row>
    <row r="199" spans="1:14" x14ac:dyDescent="0.25">
      <c r="A199" t="s">
        <v>10</v>
      </c>
      <c r="B199" t="s">
        <v>619</v>
      </c>
      <c r="C199" t="s">
        <v>12</v>
      </c>
      <c r="D199" t="s">
        <v>715</v>
      </c>
      <c r="E199" t="s">
        <v>716</v>
      </c>
      <c r="F199" t="s">
        <v>622</v>
      </c>
      <c r="G199" s="2">
        <v>5000</v>
      </c>
      <c r="H199" t="s">
        <v>717</v>
      </c>
      <c r="I199">
        <f t="shared" si="7"/>
        <v>3</v>
      </c>
      <c r="J199">
        <v>7.73</v>
      </c>
      <c r="K199">
        <v>18</v>
      </c>
      <c r="L199" t="str">
        <f>CONCATENATE('Fixed Deposit'!C199," ",'Fixed Deposit'!K199)</f>
        <v>Shriram Finance 18</v>
      </c>
      <c r="M199" s="12">
        <f>VLOOKUP(L199,'Commercials '!$C$1:$D$15,2,)</f>
        <v>2.5999999999999999E-3</v>
      </c>
      <c r="N199" s="13">
        <f t="shared" si="6"/>
        <v>13</v>
      </c>
    </row>
    <row r="200" spans="1:14" x14ac:dyDescent="0.25">
      <c r="A200" t="s">
        <v>10</v>
      </c>
      <c r="B200" t="s">
        <v>718</v>
      </c>
      <c r="C200" t="s">
        <v>12</v>
      </c>
      <c r="D200" t="s">
        <v>719</v>
      </c>
      <c r="E200" t="s">
        <v>720</v>
      </c>
      <c r="F200" t="s">
        <v>721</v>
      </c>
      <c r="G200" s="2">
        <v>5000</v>
      </c>
      <c r="H200" t="s">
        <v>717</v>
      </c>
      <c r="I200">
        <f t="shared" si="7"/>
        <v>3</v>
      </c>
      <c r="J200">
        <v>7.69</v>
      </c>
      <c r="K200">
        <v>12</v>
      </c>
      <c r="L200" t="str">
        <f>CONCATENATE('Fixed Deposit'!C200," ",'Fixed Deposit'!K200)</f>
        <v>Shriram Finance 12</v>
      </c>
      <c r="M200" s="12">
        <f>VLOOKUP(L200,'Commercials '!$C$1:$D$15,2,)</f>
        <v>2.5999999999999999E-3</v>
      </c>
      <c r="N200" s="13">
        <f t="shared" si="6"/>
        <v>13</v>
      </c>
    </row>
    <row r="201" spans="1:14" x14ac:dyDescent="0.25">
      <c r="A201" t="s">
        <v>10</v>
      </c>
      <c r="B201" t="s">
        <v>722</v>
      </c>
      <c r="C201" t="s">
        <v>12</v>
      </c>
      <c r="D201" t="s">
        <v>723</v>
      </c>
      <c r="E201" t="s">
        <v>724</v>
      </c>
      <c r="F201" t="s">
        <v>725</v>
      </c>
      <c r="G201" s="2">
        <v>5000</v>
      </c>
      <c r="H201" t="s">
        <v>726</v>
      </c>
      <c r="I201">
        <f t="shared" si="7"/>
        <v>3</v>
      </c>
      <c r="J201">
        <v>7.59</v>
      </c>
      <c r="K201">
        <v>12</v>
      </c>
      <c r="L201" t="str">
        <f>CONCATENATE('Fixed Deposit'!C201," ",'Fixed Deposit'!K201)</f>
        <v>Shriram Finance 12</v>
      </c>
      <c r="M201" s="12">
        <f>VLOOKUP(L201,'Commercials '!$C$1:$D$15,2,)</f>
        <v>2.5999999999999999E-3</v>
      </c>
      <c r="N201" s="13">
        <f t="shared" si="6"/>
        <v>13</v>
      </c>
    </row>
    <row r="202" spans="1:14" x14ac:dyDescent="0.25">
      <c r="A202" t="s">
        <v>10</v>
      </c>
      <c r="B202" t="s">
        <v>727</v>
      </c>
      <c r="C202" t="s">
        <v>12</v>
      </c>
      <c r="D202" t="s">
        <v>728</v>
      </c>
      <c r="E202" t="s">
        <v>729</v>
      </c>
      <c r="F202" t="s">
        <v>730</v>
      </c>
      <c r="G202" s="2">
        <v>5000</v>
      </c>
      <c r="H202" t="s">
        <v>731</v>
      </c>
      <c r="I202">
        <f t="shared" si="7"/>
        <v>3</v>
      </c>
      <c r="J202">
        <v>7.59</v>
      </c>
      <c r="K202">
        <v>12</v>
      </c>
      <c r="L202" t="str">
        <f>CONCATENATE('Fixed Deposit'!C202," ",'Fixed Deposit'!K202)</f>
        <v>Shriram Finance 12</v>
      </c>
      <c r="M202" s="12">
        <f>VLOOKUP(L202,'Commercials '!$C$1:$D$15,2,)</f>
        <v>2.5999999999999999E-3</v>
      </c>
      <c r="N202" s="13">
        <f t="shared" si="6"/>
        <v>13</v>
      </c>
    </row>
    <row r="203" spans="1:14" x14ac:dyDescent="0.25">
      <c r="A203" t="s">
        <v>10</v>
      </c>
      <c r="B203" t="s">
        <v>732</v>
      </c>
      <c r="C203" t="s">
        <v>12</v>
      </c>
      <c r="D203" t="s">
        <v>733</v>
      </c>
      <c r="E203" t="s">
        <v>734</v>
      </c>
      <c r="F203" t="s">
        <v>735</v>
      </c>
      <c r="G203" s="2">
        <v>5000</v>
      </c>
      <c r="H203" t="s">
        <v>731</v>
      </c>
      <c r="I203">
        <f t="shared" si="7"/>
        <v>3</v>
      </c>
      <c r="J203">
        <v>7.59</v>
      </c>
      <c r="K203">
        <v>12</v>
      </c>
      <c r="L203" t="str">
        <f>CONCATENATE('Fixed Deposit'!C203," ",'Fixed Deposit'!K203)</f>
        <v>Shriram Finance 12</v>
      </c>
      <c r="M203" s="12">
        <f>VLOOKUP(L203,'Commercials '!$C$1:$D$15,2,)</f>
        <v>2.5999999999999999E-3</v>
      </c>
      <c r="N203" s="13">
        <f t="shared" si="6"/>
        <v>13</v>
      </c>
    </row>
    <row r="204" spans="1:14" x14ac:dyDescent="0.25">
      <c r="A204" t="s">
        <v>10</v>
      </c>
      <c r="B204" t="s">
        <v>417</v>
      </c>
      <c r="C204" t="s">
        <v>12</v>
      </c>
      <c r="D204" t="s">
        <v>736</v>
      </c>
      <c r="E204" t="s">
        <v>737</v>
      </c>
      <c r="F204" t="s">
        <v>420</v>
      </c>
      <c r="G204" s="2">
        <v>11000</v>
      </c>
      <c r="H204" t="s">
        <v>738</v>
      </c>
      <c r="I204">
        <f t="shared" si="7"/>
        <v>3</v>
      </c>
      <c r="J204">
        <v>8.57</v>
      </c>
      <c r="K204">
        <v>60</v>
      </c>
      <c r="L204" t="str">
        <f>CONCATENATE('Fixed Deposit'!C204," ",'Fixed Deposit'!K204)</f>
        <v>Shriram Finance 60</v>
      </c>
      <c r="M204" s="12">
        <f>VLOOKUP(L204,'Commercials '!$C$1:$D$15,2,)</f>
        <v>1.1900000000000001E-2</v>
      </c>
      <c r="N204" s="13">
        <f t="shared" si="6"/>
        <v>130.9</v>
      </c>
    </row>
    <row r="205" spans="1:14" x14ac:dyDescent="0.25">
      <c r="A205" t="s">
        <v>10</v>
      </c>
      <c r="B205" t="s">
        <v>739</v>
      </c>
      <c r="C205" t="s">
        <v>12</v>
      </c>
      <c r="D205" t="s">
        <v>740</v>
      </c>
      <c r="E205" t="s">
        <v>741</v>
      </c>
      <c r="F205" t="s">
        <v>742</v>
      </c>
      <c r="G205" s="2">
        <v>15000</v>
      </c>
      <c r="H205" t="s">
        <v>743</v>
      </c>
      <c r="I205">
        <f t="shared" si="7"/>
        <v>3</v>
      </c>
      <c r="J205">
        <v>7.73</v>
      </c>
      <c r="K205">
        <v>18</v>
      </c>
      <c r="L205" t="str">
        <f>CONCATENATE('Fixed Deposit'!C205," ",'Fixed Deposit'!K205)</f>
        <v>Shriram Finance 18</v>
      </c>
      <c r="M205" s="12">
        <f>VLOOKUP(L205,'Commercials '!$C$1:$D$15,2,)</f>
        <v>2.5999999999999999E-3</v>
      </c>
      <c r="N205" s="13">
        <f t="shared" si="6"/>
        <v>39</v>
      </c>
    </row>
    <row r="206" spans="1:14" x14ac:dyDescent="0.25">
      <c r="A206" t="s">
        <v>10</v>
      </c>
      <c r="B206" t="s">
        <v>744</v>
      </c>
      <c r="C206" t="s">
        <v>12</v>
      </c>
      <c r="D206" t="s">
        <v>745</v>
      </c>
      <c r="E206" t="s">
        <v>746</v>
      </c>
      <c r="F206" t="s">
        <v>747</v>
      </c>
      <c r="G206" s="2">
        <v>6000</v>
      </c>
      <c r="H206" t="s">
        <v>748</v>
      </c>
      <c r="I206">
        <f t="shared" si="7"/>
        <v>3</v>
      </c>
      <c r="J206">
        <v>7.59</v>
      </c>
      <c r="K206">
        <v>12</v>
      </c>
      <c r="L206" t="str">
        <f>CONCATENATE('Fixed Deposit'!C206," ",'Fixed Deposit'!K206)</f>
        <v>Shriram Finance 12</v>
      </c>
      <c r="M206" s="12">
        <f>VLOOKUP(L206,'Commercials '!$C$1:$D$15,2,)</f>
        <v>2.5999999999999999E-3</v>
      </c>
      <c r="N206" s="13">
        <f t="shared" si="6"/>
        <v>15.6</v>
      </c>
    </row>
    <row r="207" spans="1:14" x14ac:dyDescent="0.25">
      <c r="A207" t="s">
        <v>10</v>
      </c>
      <c r="B207" t="s">
        <v>146</v>
      </c>
      <c r="C207" t="s">
        <v>12</v>
      </c>
      <c r="D207" t="s">
        <v>749</v>
      </c>
      <c r="E207" t="s">
        <v>750</v>
      </c>
      <c r="F207" t="s">
        <v>149</v>
      </c>
      <c r="G207" s="2">
        <v>50000</v>
      </c>
      <c r="H207" t="s">
        <v>748</v>
      </c>
      <c r="I207">
        <f t="shared" si="7"/>
        <v>3</v>
      </c>
      <c r="J207">
        <v>7.83</v>
      </c>
      <c r="K207">
        <v>18</v>
      </c>
      <c r="L207" t="str">
        <f>CONCATENATE('Fixed Deposit'!C207," ",'Fixed Deposit'!K207)</f>
        <v>Shriram Finance 18</v>
      </c>
      <c r="M207" s="12">
        <f>VLOOKUP(L207,'Commercials '!$C$1:$D$15,2,)</f>
        <v>2.5999999999999999E-3</v>
      </c>
      <c r="N207" s="13">
        <f t="shared" si="6"/>
        <v>130</v>
      </c>
    </row>
    <row r="208" spans="1:14" x14ac:dyDescent="0.25">
      <c r="A208" t="s">
        <v>10</v>
      </c>
      <c r="B208" t="s">
        <v>751</v>
      </c>
      <c r="C208" t="s">
        <v>12</v>
      </c>
      <c r="D208" t="s">
        <v>752</v>
      </c>
      <c r="E208" t="s">
        <v>753</v>
      </c>
      <c r="F208" t="s">
        <v>754</v>
      </c>
      <c r="G208" s="2">
        <v>50000</v>
      </c>
      <c r="H208" t="s">
        <v>748</v>
      </c>
      <c r="I208">
        <f t="shared" si="7"/>
        <v>3</v>
      </c>
      <c r="J208">
        <v>7.59</v>
      </c>
      <c r="K208">
        <v>12</v>
      </c>
      <c r="L208" t="str">
        <f>CONCATENATE('Fixed Deposit'!C208," ",'Fixed Deposit'!K208)</f>
        <v>Shriram Finance 12</v>
      </c>
      <c r="M208" s="12">
        <f>VLOOKUP(L208,'Commercials '!$C$1:$D$15,2,)</f>
        <v>2.5999999999999999E-3</v>
      </c>
      <c r="N208" s="13">
        <f t="shared" si="6"/>
        <v>130</v>
      </c>
    </row>
    <row r="209" spans="1:14" x14ac:dyDescent="0.25">
      <c r="A209" t="s">
        <v>10</v>
      </c>
      <c r="B209" t="s">
        <v>417</v>
      </c>
      <c r="C209" t="s">
        <v>12</v>
      </c>
      <c r="D209" t="s">
        <v>755</v>
      </c>
      <c r="E209" t="s">
        <v>756</v>
      </c>
      <c r="F209" t="s">
        <v>420</v>
      </c>
      <c r="G209" s="2">
        <v>11000</v>
      </c>
      <c r="H209" t="s">
        <v>757</v>
      </c>
      <c r="I209">
        <f t="shared" si="7"/>
        <v>3</v>
      </c>
      <c r="J209">
        <v>8.57</v>
      </c>
      <c r="K209">
        <v>50</v>
      </c>
      <c r="L209" t="str">
        <f>CONCATENATE('Fixed Deposit'!C209," ",'Fixed Deposit'!K209)</f>
        <v>Shriram Finance 50</v>
      </c>
      <c r="M209" s="12">
        <f>VLOOKUP(L209,'Commercials '!$C$1:$D$15,2,)</f>
        <v>1.11E-2</v>
      </c>
      <c r="N209" s="13">
        <f t="shared" si="6"/>
        <v>122.10000000000001</v>
      </c>
    </row>
    <row r="210" spans="1:14" x14ac:dyDescent="0.25">
      <c r="A210" t="s">
        <v>10</v>
      </c>
      <c r="B210" t="s">
        <v>722</v>
      </c>
      <c r="C210" t="s">
        <v>12</v>
      </c>
      <c r="D210" t="s">
        <v>758</v>
      </c>
      <c r="E210" t="s">
        <v>759</v>
      </c>
      <c r="F210" t="s">
        <v>725</v>
      </c>
      <c r="G210" s="2">
        <v>5000</v>
      </c>
      <c r="H210" t="s">
        <v>760</v>
      </c>
      <c r="I210">
        <f t="shared" si="7"/>
        <v>3</v>
      </c>
      <c r="J210">
        <v>7.59</v>
      </c>
      <c r="K210">
        <v>12</v>
      </c>
      <c r="L210" t="str">
        <f>CONCATENATE('Fixed Deposit'!C210," ",'Fixed Deposit'!K210)</f>
        <v>Shriram Finance 12</v>
      </c>
      <c r="M210" s="12">
        <f>VLOOKUP(L210,'Commercials '!$C$1:$D$15,2,)</f>
        <v>2.5999999999999999E-3</v>
      </c>
      <c r="N210" s="13">
        <f t="shared" si="6"/>
        <v>13</v>
      </c>
    </row>
    <row r="211" spans="1:14" x14ac:dyDescent="0.25">
      <c r="A211" t="s">
        <v>10</v>
      </c>
      <c r="B211" t="s">
        <v>722</v>
      </c>
      <c r="C211" t="s">
        <v>12</v>
      </c>
      <c r="D211" t="s">
        <v>761</v>
      </c>
      <c r="E211" t="s">
        <v>762</v>
      </c>
      <c r="F211" t="s">
        <v>725</v>
      </c>
      <c r="G211" s="2">
        <v>5000</v>
      </c>
      <c r="H211" t="s">
        <v>760</v>
      </c>
      <c r="I211">
        <f t="shared" si="7"/>
        <v>3</v>
      </c>
      <c r="J211">
        <v>7.59</v>
      </c>
      <c r="K211">
        <v>12</v>
      </c>
      <c r="L211" t="str">
        <f>CONCATENATE('Fixed Deposit'!C211," ",'Fixed Deposit'!K211)</f>
        <v>Shriram Finance 12</v>
      </c>
      <c r="M211" s="12">
        <f>VLOOKUP(L211,'Commercials '!$C$1:$D$15,2,)</f>
        <v>2.5999999999999999E-3</v>
      </c>
      <c r="N211" s="13">
        <f t="shared" si="6"/>
        <v>13</v>
      </c>
    </row>
    <row r="212" spans="1:14" x14ac:dyDescent="0.25">
      <c r="A212" t="s">
        <v>10</v>
      </c>
      <c r="B212" t="s">
        <v>763</v>
      </c>
      <c r="C212" t="s">
        <v>12</v>
      </c>
      <c r="D212" t="s">
        <v>764</v>
      </c>
      <c r="E212" t="s">
        <v>765</v>
      </c>
      <c r="F212" t="s">
        <v>766</v>
      </c>
      <c r="G212" s="2">
        <v>5000</v>
      </c>
      <c r="H212" t="s">
        <v>767</v>
      </c>
      <c r="I212">
        <f t="shared" si="7"/>
        <v>3</v>
      </c>
      <c r="J212">
        <v>8.4700000000000006</v>
      </c>
      <c r="K212">
        <v>60</v>
      </c>
      <c r="L212" t="str">
        <f>CONCATENATE('Fixed Deposit'!C212," ",'Fixed Deposit'!K212)</f>
        <v>Shriram Finance 60</v>
      </c>
      <c r="M212" s="12">
        <f>VLOOKUP(L212,'Commercials '!$C$1:$D$15,2,)</f>
        <v>1.1900000000000001E-2</v>
      </c>
      <c r="N212" s="13">
        <f t="shared" si="6"/>
        <v>59.500000000000007</v>
      </c>
    </row>
    <row r="213" spans="1:14" x14ac:dyDescent="0.25">
      <c r="A213" t="s">
        <v>10</v>
      </c>
      <c r="B213" t="s">
        <v>768</v>
      </c>
      <c r="C213" t="s">
        <v>12</v>
      </c>
      <c r="D213" t="s">
        <v>769</v>
      </c>
      <c r="E213" t="s">
        <v>770</v>
      </c>
      <c r="F213" t="s">
        <v>771</v>
      </c>
      <c r="G213" s="2">
        <v>6000</v>
      </c>
      <c r="H213" t="s">
        <v>772</v>
      </c>
      <c r="I213">
        <f t="shared" si="7"/>
        <v>3</v>
      </c>
      <c r="J213">
        <v>8.57</v>
      </c>
      <c r="K213">
        <v>50</v>
      </c>
      <c r="L213" t="str">
        <f>CONCATENATE('Fixed Deposit'!C213," ",'Fixed Deposit'!K213)</f>
        <v>Shriram Finance 50</v>
      </c>
      <c r="M213" s="12">
        <f>VLOOKUP(L213,'Commercials '!$C$1:$D$15,2,)</f>
        <v>1.11E-2</v>
      </c>
      <c r="N213" s="13">
        <f t="shared" si="6"/>
        <v>66.600000000000009</v>
      </c>
    </row>
    <row r="214" spans="1:14" x14ac:dyDescent="0.25">
      <c r="A214" t="s">
        <v>10</v>
      </c>
      <c r="B214" t="s">
        <v>773</v>
      </c>
      <c r="C214" t="s">
        <v>12</v>
      </c>
      <c r="D214" t="s">
        <v>774</v>
      </c>
      <c r="E214" t="s">
        <v>775</v>
      </c>
      <c r="F214" t="s">
        <v>776</v>
      </c>
      <c r="G214" s="2">
        <v>10000</v>
      </c>
      <c r="H214" t="s">
        <v>777</v>
      </c>
      <c r="I214">
        <f t="shared" si="7"/>
        <v>3</v>
      </c>
      <c r="J214">
        <v>7.59</v>
      </c>
      <c r="K214">
        <v>12</v>
      </c>
      <c r="L214" t="str">
        <f>CONCATENATE('Fixed Deposit'!C214," ",'Fixed Deposit'!K214)</f>
        <v>Shriram Finance 12</v>
      </c>
      <c r="M214" s="12">
        <f>VLOOKUP(L214,'Commercials '!$C$1:$D$15,2,)</f>
        <v>2.5999999999999999E-3</v>
      </c>
      <c r="N214" s="13">
        <f t="shared" si="6"/>
        <v>26</v>
      </c>
    </row>
    <row r="215" spans="1:14" x14ac:dyDescent="0.25">
      <c r="A215" t="s">
        <v>10</v>
      </c>
      <c r="B215" t="s">
        <v>778</v>
      </c>
      <c r="C215" t="s">
        <v>12</v>
      </c>
      <c r="D215" t="s">
        <v>779</v>
      </c>
      <c r="E215" t="s">
        <v>780</v>
      </c>
      <c r="F215" t="s">
        <v>781</v>
      </c>
      <c r="G215" s="2">
        <v>5000</v>
      </c>
      <c r="H215" t="s">
        <v>777</v>
      </c>
      <c r="I215">
        <f t="shared" si="7"/>
        <v>3</v>
      </c>
      <c r="J215">
        <v>8.4700000000000006</v>
      </c>
      <c r="K215">
        <v>50</v>
      </c>
      <c r="L215" t="str">
        <f>CONCATENATE('Fixed Deposit'!C215," ",'Fixed Deposit'!K215)</f>
        <v>Shriram Finance 50</v>
      </c>
      <c r="M215" s="12">
        <f>VLOOKUP(L215,'Commercials '!$C$1:$D$15,2,)</f>
        <v>1.11E-2</v>
      </c>
      <c r="N215" s="13">
        <f t="shared" si="6"/>
        <v>55.5</v>
      </c>
    </row>
    <row r="216" spans="1:14" x14ac:dyDescent="0.25">
      <c r="A216" t="s">
        <v>10</v>
      </c>
      <c r="B216" t="s">
        <v>782</v>
      </c>
      <c r="C216" t="s">
        <v>12</v>
      </c>
      <c r="D216" t="s">
        <v>783</v>
      </c>
      <c r="E216" t="s">
        <v>784</v>
      </c>
      <c r="F216" t="s">
        <v>785</v>
      </c>
      <c r="G216" s="2">
        <v>5000</v>
      </c>
      <c r="H216" t="s">
        <v>777</v>
      </c>
      <c r="I216">
        <f t="shared" si="7"/>
        <v>3</v>
      </c>
      <c r="J216">
        <v>8.4700000000000006</v>
      </c>
      <c r="K216">
        <v>60</v>
      </c>
      <c r="L216" t="str">
        <f>CONCATENATE('Fixed Deposit'!C216," ",'Fixed Deposit'!K216)</f>
        <v>Shriram Finance 60</v>
      </c>
      <c r="M216" s="12">
        <f>VLOOKUP(L216,'Commercials '!$C$1:$D$15,2,)</f>
        <v>1.1900000000000001E-2</v>
      </c>
      <c r="N216" s="13">
        <f t="shared" si="6"/>
        <v>59.500000000000007</v>
      </c>
    </row>
    <row r="217" spans="1:14" x14ac:dyDescent="0.25">
      <c r="A217" t="s">
        <v>10</v>
      </c>
      <c r="B217" t="s">
        <v>786</v>
      </c>
      <c r="C217" t="s">
        <v>12</v>
      </c>
      <c r="D217" t="s">
        <v>787</v>
      </c>
      <c r="E217" t="s">
        <v>788</v>
      </c>
      <c r="F217" t="s">
        <v>789</v>
      </c>
      <c r="G217" s="2">
        <v>5000</v>
      </c>
      <c r="H217" t="s">
        <v>777</v>
      </c>
      <c r="I217">
        <f t="shared" si="7"/>
        <v>3</v>
      </c>
      <c r="J217">
        <v>8.3800000000000008</v>
      </c>
      <c r="K217">
        <v>36</v>
      </c>
      <c r="L217" t="str">
        <f>CONCATENATE('Fixed Deposit'!C217," ",'Fixed Deposit'!K217)</f>
        <v>Shriram Finance 36</v>
      </c>
      <c r="M217" s="12">
        <f>VLOOKUP(L217,'Commercials '!$C$1:$D$15,2,)</f>
        <v>1.0200000000000001E-2</v>
      </c>
      <c r="N217" s="13">
        <f t="shared" si="6"/>
        <v>51.000000000000007</v>
      </c>
    </row>
    <row r="218" spans="1:14" x14ac:dyDescent="0.25">
      <c r="A218" t="s">
        <v>10</v>
      </c>
      <c r="B218" t="s">
        <v>790</v>
      </c>
      <c r="C218" t="s">
        <v>12</v>
      </c>
      <c r="D218" t="s">
        <v>791</v>
      </c>
      <c r="E218" t="s">
        <v>792</v>
      </c>
      <c r="F218" t="s">
        <v>793</v>
      </c>
      <c r="G218" s="2">
        <v>20000</v>
      </c>
      <c r="H218" t="s">
        <v>777</v>
      </c>
      <c r="I218">
        <f t="shared" si="7"/>
        <v>3</v>
      </c>
      <c r="J218">
        <v>7.69</v>
      </c>
      <c r="K218">
        <v>12</v>
      </c>
      <c r="L218" t="str">
        <f>CONCATENATE('Fixed Deposit'!C218," ",'Fixed Deposit'!K218)</f>
        <v>Shriram Finance 12</v>
      </c>
      <c r="M218" s="12">
        <f>VLOOKUP(L218,'Commercials '!$C$1:$D$15,2,)</f>
        <v>2.5999999999999999E-3</v>
      </c>
      <c r="N218" s="13">
        <f t="shared" si="6"/>
        <v>52</v>
      </c>
    </row>
    <row r="219" spans="1:14" x14ac:dyDescent="0.25">
      <c r="A219" t="s">
        <v>10</v>
      </c>
      <c r="B219" t="s">
        <v>318</v>
      </c>
      <c r="C219" t="s">
        <v>12</v>
      </c>
      <c r="D219" t="s">
        <v>794</v>
      </c>
      <c r="E219" t="s">
        <v>795</v>
      </c>
      <c r="F219" t="s">
        <v>321</v>
      </c>
      <c r="G219" s="2">
        <v>5000</v>
      </c>
      <c r="H219" t="s">
        <v>796</v>
      </c>
      <c r="I219">
        <f t="shared" si="7"/>
        <v>3</v>
      </c>
      <c r="J219">
        <v>8.4700000000000006</v>
      </c>
      <c r="K219">
        <v>50</v>
      </c>
      <c r="L219" t="str">
        <f>CONCATENATE('Fixed Deposit'!C219," ",'Fixed Deposit'!K219)</f>
        <v>Shriram Finance 50</v>
      </c>
      <c r="M219" s="12">
        <f>VLOOKUP(L219,'Commercials '!$C$1:$D$15,2,)</f>
        <v>1.11E-2</v>
      </c>
      <c r="N219" s="13">
        <f t="shared" si="6"/>
        <v>55.5</v>
      </c>
    </row>
    <row r="220" spans="1:14" x14ac:dyDescent="0.25">
      <c r="A220" t="s">
        <v>10</v>
      </c>
      <c r="B220" t="s">
        <v>797</v>
      </c>
      <c r="C220" t="s">
        <v>12</v>
      </c>
      <c r="D220" t="s">
        <v>798</v>
      </c>
      <c r="E220" t="s">
        <v>799</v>
      </c>
      <c r="F220" t="s">
        <v>800</v>
      </c>
      <c r="G220" s="2">
        <v>100000</v>
      </c>
      <c r="H220" t="s">
        <v>796</v>
      </c>
      <c r="I220">
        <f t="shared" si="7"/>
        <v>3</v>
      </c>
      <c r="J220">
        <v>8.5500000000000007</v>
      </c>
      <c r="K220">
        <v>30</v>
      </c>
      <c r="L220" t="str">
        <f>CONCATENATE('Fixed Deposit'!C220," ",'Fixed Deposit'!K220)</f>
        <v>Shriram Finance 30</v>
      </c>
      <c r="M220" s="12">
        <f>VLOOKUP(L220,'Commercials '!$C$1:$D$15,2,)</f>
        <v>5.1000000000000004E-3</v>
      </c>
      <c r="N220" s="13">
        <f t="shared" si="6"/>
        <v>510.00000000000006</v>
      </c>
    </row>
    <row r="221" spans="1:14" x14ac:dyDescent="0.25">
      <c r="A221" t="s">
        <v>10</v>
      </c>
      <c r="B221" t="s">
        <v>801</v>
      </c>
      <c r="C221" t="s">
        <v>12</v>
      </c>
      <c r="D221" t="s">
        <v>802</v>
      </c>
      <c r="E221" t="s">
        <v>803</v>
      </c>
      <c r="F221" t="s">
        <v>804</v>
      </c>
      <c r="G221" s="2">
        <v>100000</v>
      </c>
      <c r="H221" t="s">
        <v>805</v>
      </c>
      <c r="I221">
        <f t="shared" si="7"/>
        <v>3</v>
      </c>
      <c r="J221">
        <v>8.4700000000000006</v>
      </c>
      <c r="K221">
        <v>50</v>
      </c>
      <c r="L221" t="str">
        <f>CONCATENATE('Fixed Deposit'!C221," ",'Fixed Deposit'!K221)</f>
        <v>Shriram Finance 50</v>
      </c>
      <c r="M221" s="12">
        <f>VLOOKUP(L221,'Commercials '!$C$1:$D$15,2,)</f>
        <v>1.11E-2</v>
      </c>
      <c r="N221" s="13">
        <f t="shared" si="6"/>
        <v>1110</v>
      </c>
    </row>
    <row r="222" spans="1:14" x14ac:dyDescent="0.25">
      <c r="A222" t="s">
        <v>10</v>
      </c>
      <c r="B222" t="s">
        <v>801</v>
      </c>
      <c r="C222" t="s">
        <v>12</v>
      </c>
      <c r="D222" t="s">
        <v>806</v>
      </c>
      <c r="E222" t="s">
        <v>807</v>
      </c>
      <c r="F222" t="s">
        <v>804</v>
      </c>
      <c r="G222" s="2">
        <v>100000</v>
      </c>
      <c r="H222" t="s">
        <v>808</v>
      </c>
      <c r="I222">
        <f t="shared" si="7"/>
        <v>3</v>
      </c>
      <c r="J222">
        <v>8.4700000000000006</v>
      </c>
      <c r="K222">
        <v>50</v>
      </c>
      <c r="L222" t="str">
        <f>CONCATENATE('Fixed Deposit'!C222," ",'Fixed Deposit'!K222)</f>
        <v>Shriram Finance 50</v>
      </c>
      <c r="M222" s="12">
        <f>VLOOKUP(L222,'Commercials '!$C$1:$D$15,2,)</f>
        <v>1.11E-2</v>
      </c>
      <c r="N222" s="13">
        <f t="shared" si="6"/>
        <v>1110</v>
      </c>
    </row>
    <row r="223" spans="1:14" x14ac:dyDescent="0.25">
      <c r="A223" t="s">
        <v>10</v>
      </c>
      <c r="B223" t="s">
        <v>801</v>
      </c>
      <c r="C223" t="s">
        <v>12</v>
      </c>
      <c r="D223" t="s">
        <v>809</v>
      </c>
      <c r="E223" t="s">
        <v>810</v>
      </c>
      <c r="F223" t="s">
        <v>804</v>
      </c>
      <c r="G223" s="2">
        <v>100000</v>
      </c>
      <c r="H223" t="s">
        <v>808</v>
      </c>
      <c r="I223">
        <f t="shared" si="7"/>
        <v>3</v>
      </c>
      <c r="J223">
        <v>8.4700000000000006</v>
      </c>
      <c r="K223">
        <v>50</v>
      </c>
      <c r="L223" t="str">
        <f>CONCATENATE('Fixed Deposit'!C223," ",'Fixed Deposit'!K223)</f>
        <v>Shriram Finance 50</v>
      </c>
      <c r="M223" s="12">
        <f>VLOOKUP(L223,'Commercials '!$C$1:$D$15,2,)</f>
        <v>1.11E-2</v>
      </c>
      <c r="N223" s="13">
        <f t="shared" si="6"/>
        <v>1110</v>
      </c>
    </row>
    <row r="224" spans="1:14" x14ac:dyDescent="0.25">
      <c r="A224" t="s">
        <v>10</v>
      </c>
      <c r="B224" t="s">
        <v>619</v>
      </c>
      <c r="C224" t="s">
        <v>12</v>
      </c>
      <c r="D224" t="s">
        <v>811</v>
      </c>
      <c r="E224" t="s">
        <v>812</v>
      </c>
      <c r="F224" t="s">
        <v>622</v>
      </c>
      <c r="G224" s="2">
        <v>5000</v>
      </c>
      <c r="H224" t="s">
        <v>808</v>
      </c>
      <c r="I224">
        <f t="shared" si="7"/>
        <v>3</v>
      </c>
      <c r="J224">
        <v>7.59</v>
      </c>
      <c r="K224">
        <v>12</v>
      </c>
      <c r="L224" t="str">
        <f>CONCATENATE('Fixed Deposit'!C224," ",'Fixed Deposit'!K224)</f>
        <v>Shriram Finance 12</v>
      </c>
      <c r="M224" s="12">
        <f>VLOOKUP(L224,'Commercials '!$C$1:$D$15,2,)</f>
        <v>2.5999999999999999E-3</v>
      </c>
      <c r="N224" s="13">
        <f t="shared" si="6"/>
        <v>13</v>
      </c>
    </row>
    <row r="225" spans="1:14" x14ac:dyDescent="0.25">
      <c r="A225" t="s">
        <v>10</v>
      </c>
      <c r="B225" t="s">
        <v>131</v>
      </c>
      <c r="C225" t="s">
        <v>12</v>
      </c>
      <c r="D225" t="s">
        <v>813</v>
      </c>
      <c r="E225" t="s">
        <v>814</v>
      </c>
      <c r="F225" t="s">
        <v>134</v>
      </c>
      <c r="G225" s="2">
        <v>25000</v>
      </c>
      <c r="H225" t="s">
        <v>808</v>
      </c>
      <c r="I225">
        <f t="shared" si="7"/>
        <v>3</v>
      </c>
      <c r="J225">
        <v>7.59</v>
      </c>
      <c r="K225">
        <v>12</v>
      </c>
      <c r="L225" t="str">
        <f>CONCATENATE('Fixed Deposit'!C225," ",'Fixed Deposit'!K225)</f>
        <v>Shriram Finance 12</v>
      </c>
      <c r="M225" s="12">
        <f>VLOOKUP(L225,'Commercials '!$C$1:$D$15,2,)</f>
        <v>2.5999999999999999E-3</v>
      </c>
      <c r="N225" s="13">
        <f t="shared" si="6"/>
        <v>65</v>
      </c>
    </row>
    <row r="226" spans="1:14" x14ac:dyDescent="0.25">
      <c r="A226" t="s">
        <v>10</v>
      </c>
      <c r="B226" t="s">
        <v>52</v>
      </c>
      <c r="C226" t="s">
        <v>12</v>
      </c>
      <c r="D226" t="s">
        <v>815</v>
      </c>
      <c r="E226" t="s">
        <v>816</v>
      </c>
      <c r="F226" t="s">
        <v>336</v>
      </c>
      <c r="G226" s="2">
        <v>5000</v>
      </c>
      <c r="H226" t="s">
        <v>817</v>
      </c>
      <c r="I226">
        <f t="shared" si="7"/>
        <v>3</v>
      </c>
      <c r="J226">
        <v>7.59</v>
      </c>
      <c r="K226">
        <v>12</v>
      </c>
      <c r="L226" t="str">
        <f>CONCATENATE('Fixed Deposit'!C226," ",'Fixed Deposit'!K226)</f>
        <v>Shriram Finance 12</v>
      </c>
      <c r="M226" s="12">
        <f>VLOOKUP(L226,'Commercials '!$C$1:$D$15,2,)</f>
        <v>2.5999999999999999E-3</v>
      </c>
      <c r="N226" s="13">
        <f t="shared" si="6"/>
        <v>13</v>
      </c>
    </row>
    <row r="227" spans="1:14" x14ac:dyDescent="0.25">
      <c r="A227" t="s">
        <v>10</v>
      </c>
      <c r="B227" t="s">
        <v>131</v>
      </c>
      <c r="C227" t="s">
        <v>12</v>
      </c>
      <c r="D227" t="s">
        <v>818</v>
      </c>
      <c r="E227" t="s">
        <v>819</v>
      </c>
      <c r="F227" t="s">
        <v>134</v>
      </c>
      <c r="G227" s="2">
        <v>15000</v>
      </c>
      <c r="H227" t="s">
        <v>820</v>
      </c>
      <c r="I227">
        <f t="shared" si="7"/>
        <v>3</v>
      </c>
      <c r="J227">
        <v>7.59</v>
      </c>
      <c r="K227">
        <v>12</v>
      </c>
      <c r="L227" t="str">
        <f>CONCATENATE('Fixed Deposit'!C227," ",'Fixed Deposit'!K227)</f>
        <v>Shriram Finance 12</v>
      </c>
      <c r="M227" s="12">
        <f>VLOOKUP(L227,'Commercials '!$C$1:$D$15,2,)</f>
        <v>2.5999999999999999E-3</v>
      </c>
      <c r="N227" s="13">
        <f t="shared" si="6"/>
        <v>39</v>
      </c>
    </row>
    <row r="228" spans="1:14" x14ac:dyDescent="0.25">
      <c r="A228" t="s">
        <v>10</v>
      </c>
      <c r="B228" t="s">
        <v>821</v>
      </c>
      <c r="C228" t="s">
        <v>12</v>
      </c>
      <c r="D228" t="s">
        <v>822</v>
      </c>
      <c r="E228" t="s">
        <v>823</v>
      </c>
      <c r="F228" t="s">
        <v>824</v>
      </c>
      <c r="G228" s="2">
        <v>8000</v>
      </c>
      <c r="H228" t="s">
        <v>825</v>
      </c>
      <c r="I228">
        <f t="shared" si="7"/>
        <v>3</v>
      </c>
      <c r="J228">
        <v>8.4700000000000006</v>
      </c>
      <c r="K228">
        <v>50</v>
      </c>
      <c r="L228" t="str">
        <f>CONCATENATE('Fixed Deposit'!C228," ",'Fixed Deposit'!K228)</f>
        <v>Shriram Finance 50</v>
      </c>
      <c r="M228" s="12">
        <f>VLOOKUP(L228,'Commercials '!$C$1:$D$15,2,)</f>
        <v>1.11E-2</v>
      </c>
      <c r="N228" s="13">
        <f t="shared" si="6"/>
        <v>88.8</v>
      </c>
    </row>
    <row r="229" spans="1:14" x14ac:dyDescent="0.25">
      <c r="A229" t="s">
        <v>10</v>
      </c>
      <c r="B229" t="s">
        <v>318</v>
      </c>
      <c r="C229" t="s">
        <v>12</v>
      </c>
      <c r="D229" t="s">
        <v>826</v>
      </c>
      <c r="E229" t="s">
        <v>827</v>
      </c>
      <c r="F229" t="s">
        <v>321</v>
      </c>
      <c r="G229" s="2">
        <v>5000</v>
      </c>
      <c r="H229" t="s">
        <v>825</v>
      </c>
      <c r="I229">
        <f t="shared" si="7"/>
        <v>3</v>
      </c>
      <c r="J229">
        <v>8.4700000000000006</v>
      </c>
      <c r="K229">
        <v>50</v>
      </c>
      <c r="L229" t="str">
        <f>CONCATENATE('Fixed Deposit'!C229," ",'Fixed Deposit'!K229)</f>
        <v>Shriram Finance 50</v>
      </c>
      <c r="M229" s="12">
        <f>VLOOKUP(L229,'Commercials '!$C$1:$D$15,2,)</f>
        <v>1.11E-2</v>
      </c>
      <c r="N229" s="13">
        <f t="shared" si="6"/>
        <v>55.5</v>
      </c>
    </row>
    <row r="230" spans="1:14" x14ac:dyDescent="0.25">
      <c r="A230" t="s">
        <v>10</v>
      </c>
      <c r="B230" t="s">
        <v>828</v>
      </c>
      <c r="C230" t="s">
        <v>12</v>
      </c>
      <c r="D230" t="s">
        <v>829</v>
      </c>
      <c r="E230" t="s">
        <v>830</v>
      </c>
      <c r="F230" t="s">
        <v>831</v>
      </c>
      <c r="G230" s="2">
        <v>5000</v>
      </c>
      <c r="H230" t="s">
        <v>832</v>
      </c>
      <c r="I230">
        <f t="shared" si="7"/>
        <v>2</v>
      </c>
      <c r="J230">
        <v>7.59</v>
      </c>
      <c r="K230">
        <v>12</v>
      </c>
      <c r="L230" t="str">
        <f>CONCATENATE('Fixed Deposit'!C230," ",'Fixed Deposit'!K230)</f>
        <v>Shriram Finance 12</v>
      </c>
      <c r="M230" s="12">
        <f>VLOOKUP(L230,'Commercials '!$C$1:$D$15,2,)</f>
        <v>2.5999999999999999E-3</v>
      </c>
      <c r="N230" s="13">
        <f t="shared" si="6"/>
        <v>13</v>
      </c>
    </row>
    <row r="231" spans="1:14" x14ac:dyDescent="0.25">
      <c r="A231" t="s">
        <v>10</v>
      </c>
      <c r="B231" t="s">
        <v>833</v>
      </c>
      <c r="C231" t="s">
        <v>12</v>
      </c>
      <c r="D231" t="s">
        <v>834</v>
      </c>
      <c r="E231" t="s">
        <v>835</v>
      </c>
      <c r="F231" t="s">
        <v>836</v>
      </c>
      <c r="G231" s="2">
        <v>50000</v>
      </c>
      <c r="H231" t="s">
        <v>832</v>
      </c>
      <c r="I231">
        <f t="shared" si="7"/>
        <v>2</v>
      </c>
      <c r="J231">
        <v>8.15</v>
      </c>
      <c r="K231">
        <v>30</v>
      </c>
      <c r="L231" t="str">
        <f>CONCATENATE('Fixed Deposit'!C231," ",'Fixed Deposit'!K231)</f>
        <v>Shriram Finance 30</v>
      </c>
      <c r="M231" s="12">
        <f>VLOOKUP(L231,'Commercials '!$C$1:$D$15,2,)</f>
        <v>5.1000000000000004E-3</v>
      </c>
      <c r="N231" s="13">
        <f t="shared" si="6"/>
        <v>255.00000000000003</v>
      </c>
    </row>
    <row r="232" spans="1:14" x14ac:dyDescent="0.25">
      <c r="A232" t="s">
        <v>10</v>
      </c>
      <c r="B232" t="s">
        <v>837</v>
      </c>
      <c r="C232" t="s">
        <v>12</v>
      </c>
      <c r="D232" t="s">
        <v>838</v>
      </c>
      <c r="E232" t="s">
        <v>839</v>
      </c>
      <c r="F232" t="s">
        <v>840</v>
      </c>
      <c r="G232" s="2">
        <v>5000</v>
      </c>
      <c r="H232" t="s">
        <v>832</v>
      </c>
      <c r="I232">
        <f t="shared" si="7"/>
        <v>2</v>
      </c>
      <c r="J232">
        <v>7.59</v>
      </c>
      <c r="K232">
        <v>12</v>
      </c>
      <c r="L232" t="str">
        <f>CONCATENATE('Fixed Deposit'!C232," ",'Fixed Deposit'!K232)</f>
        <v>Shriram Finance 12</v>
      </c>
      <c r="M232" s="12">
        <f>VLOOKUP(L232,'Commercials '!$C$1:$D$15,2,)</f>
        <v>2.5999999999999999E-3</v>
      </c>
      <c r="N232" s="13">
        <f t="shared" si="6"/>
        <v>13</v>
      </c>
    </row>
    <row r="233" spans="1:14" x14ac:dyDescent="0.25">
      <c r="A233" t="s">
        <v>10</v>
      </c>
      <c r="B233" t="s">
        <v>53</v>
      </c>
      <c r="C233" t="s">
        <v>12</v>
      </c>
      <c r="D233" t="s">
        <v>841</v>
      </c>
      <c r="E233" t="s">
        <v>842</v>
      </c>
      <c r="F233" t="s">
        <v>56</v>
      </c>
      <c r="G233" s="2">
        <v>20000</v>
      </c>
      <c r="H233" t="s">
        <v>843</v>
      </c>
      <c r="I233">
        <f t="shared" si="7"/>
        <v>2</v>
      </c>
      <c r="J233">
        <v>8.3800000000000008</v>
      </c>
      <c r="K233">
        <v>36</v>
      </c>
      <c r="L233" t="str">
        <f>CONCATENATE('Fixed Deposit'!C233," ",'Fixed Deposit'!K233)</f>
        <v>Shriram Finance 36</v>
      </c>
      <c r="M233" s="12">
        <f>VLOOKUP(L233,'Commercials '!$C$1:$D$15,2,)</f>
        <v>1.0200000000000001E-2</v>
      </c>
      <c r="N233" s="13">
        <f t="shared" si="6"/>
        <v>204.00000000000003</v>
      </c>
    </row>
    <row r="234" spans="1:14" x14ac:dyDescent="0.25">
      <c r="A234" t="s">
        <v>10</v>
      </c>
      <c r="B234" t="s">
        <v>773</v>
      </c>
      <c r="C234" t="s">
        <v>12</v>
      </c>
      <c r="D234" t="s">
        <v>844</v>
      </c>
      <c r="E234" t="s">
        <v>845</v>
      </c>
      <c r="F234" t="s">
        <v>776</v>
      </c>
      <c r="G234" s="2">
        <v>5000</v>
      </c>
      <c r="H234" t="s">
        <v>846</v>
      </c>
      <c r="I234">
        <f t="shared" si="7"/>
        <v>2</v>
      </c>
      <c r="J234">
        <v>7.59</v>
      </c>
      <c r="K234">
        <v>12</v>
      </c>
      <c r="L234" t="str">
        <f>CONCATENATE('Fixed Deposit'!C234," ",'Fixed Deposit'!K234)</f>
        <v>Shriram Finance 12</v>
      </c>
      <c r="M234" s="12">
        <f>VLOOKUP(L234,'Commercials '!$C$1:$D$15,2,)</f>
        <v>2.5999999999999999E-3</v>
      </c>
      <c r="N234" s="13">
        <f t="shared" si="6"/>
        <v>13</v>
      </c>
    </row>
    <row r="235" spans="1:14" x14ac:dyDescent="0.25">
      <c r="A235" t="s">
        <v>10</v>
      </c>
      <c r="B235" t="s">
        <v>318</v>
      </c>
      <c r="C235" t="s">
        <v>12</v>
      </c>
      <c r="D235" t="s">
        <v>847</v>
      </c>
      <c r="E235" t="s">
        <v>848</v>
      </c>
      <c r="F235" t="s">
        <v>321</v>
      </c>
      <c r="G235" s="2">
        <v>5000</v>
      </c>
      <c r="H235" t="s">
        <v>846</v>
      </c>
      <c r="I235">
        <f t="shared" si="7"/>
        <v>2</v>
      </c>
      <c r="J235">
        <v>8.4700000000000006</v>
      </c>
      <c r="K235">
        <v>50</v>
      </c>
      <c r="L235" t="str">
        <f>CONCATENATE('Fixed Deposit'!C235," ",'Fixed Deposit'!K235)</f>
        <v>Shriram Finance 50</v>
      </c>
      <c r="M235" s="12">
        <f>VLOOKUP(L235,'Commercials '!$C$1:$D$15,2,)</f>
        <v>1.11E-2</v>
      </c>
      <c r="N235" s="13">
        <f t="shared" si="6"/>
        <v>55.5</v>
      </c>
    </row>
    <row r="236" spans="1:14" x14ac:dyDescent="0.25">
      <c r="A236" t="s">
        <v>10</v>
      </c>
      <c r="B236" t="s">
        <v>833</v>
      </c>
      <c r="C236" t="s">
        <v>12</v>
      </c>
      <c r="D236" t="s">
        <v>849</v>
      </c>
      <c r="E236" t="s">
        <v>850</v>
      </c>
      <c r="F236" t="s">
        <v>836</v>
      </c>
      <c r="G236" s="2">
        <v>50000</v>
      </c>
      <c r="H236" t="s">
        <v>851</v>
      </c>
      <c r="I236">
        <f t="shared" si="7"/>
        <v>2</v>
      </c>
      <c r="J236">
        <v>7.97</v>
      </c>
      <c r="K236">
        <v>24</v>
      </c>
      <c r="L236" t="str">
        <f>CONCATENATE('Fixed Deposit'!C236," ",'Fixed Deposit'!K236)</f>
        <v>Shriram Finance 24</v>
      </c>
      <c r="M236" s="12">
        <f>VLOOKUP(L236,'Commercials '!$C$1:$D$15,2,)</f>
        <v>5.1000000000000004E-3</v>
      </c>
      <c r="N236" s="13">
        <f t="shared" si="6"/>
        <v>255.00000000000003</v>
      </c>
    </row>
    <row r="237" spans="1:14" x14ac:dyDescent="0.25">
      <c r="A237" t="s">
        <v>10</v>
      </c>
      <c r="B237" t="s">
        <v>852</v>
      </c>
      <c r="C237" t="s">
        <v>12</v>
      </c>
      <c r="D237" t="s">
        <v>853</v>
      </c>
      <c r="E237" t="s">
        <v>854</v>
      </c>
      <c r="F237" t="s">
        <v>855</v>
      </c>
      <c r="G237" s="2">
        <v>5000</v>
      </c>
      <c r="H237" t="s">
        <v>851</v>
      </c>
      <c r="I237">
        <f t="shared" si="7"/>
        <v>2</v>
      </c>
      <c r="J237">
        <v>8.3800000000000008</v>
      </c>
      <c r="K237">
        <v>36</v>
      </c>
      <c r="L237" t="str">
        <f>CONCATENATE('Fixed Deposit'!C237," ",'Fixed Deposit'!K237)</f>
        <v>Shriram Finance 36</v>
      </c>
      <c r="M237" s="12">
        <f>VLOOKUP(L237,'Commercials '!$C$1:$D$15,2,)</f>
        <v>1.0200000000000001E-2</v>
      </c>
      <c r="N237" s="13">
        <f t="shared" si="6"/>
        <v>51.000000000000007</v>
      </c>
    </row>
    <row r="238" spans="1:14" x14ac:dyDescent="0.25">
      <c r="A238" t="s">
        <v>10</v>
      </c>
      <c r="B238" t="s">
        <v>773</v>
      </c>
      <c r="C238" t="s">
        <v>12</v>
      </c>
      <c r="D238" t="s">
        <v>856</v>
      </c>
      <c r="E238" t="s">
        <v>857</v>
      </c>
      <c r="F238" t="s">
        <v>776</v>
      </c>
      <c r="G238" s="2">
        <v>5000</v>
      </c>
      <c r="H238" t="s">
        <v>851</v>
      </c>
      <c r="I238">
        <f t="shared" si="7"/>
        <v>2</v>
      </c>
      <c r="J238">
        <v>7.59</v>
      </c>
      <c r="K238">
        <v>12</v>
      </c>
      <c r="L238" t="str">
        <f>CONCATENATE('Fixed Deposit'!C238," ",'Fixed Deposit'!K238)</f>
        <v>Shriram Finance 12</v>
      </c>
      <c r="M238" s="12">
        <f>VLOOKUP(L238,'Commercials '!$C$1:$D$15,2,)</f>
        <v>2.5999999999999999E-3</v>
      </c>
      <c r="N238" s="13">
        <f t="shared" si="6"/>
        <v>13</v>
      </c>
    </row>
    <row r="239" spans="1:14" x14ac:dyDescent="0.25">
      <c r="A239" t="s">
        <v>10</v>
      </c>
      <c r="B239" t="s">
        <v>417</v>
      </c>
      <c r="C239" t="s">
        <v>12</v>
      </c>
      <c r="D239" t="s">
        <v>858</v>
      </c>
      <c r="E239" t="s">
        <v>859</v>
      </c>
      <c r="F239" t="s">
        <v>420</v>
      </c>
      <c r="G239" s="2">
        <v>11000</v>
      </c>
      <c r="H239" t="s">
        <v>851</v>
      </c>
      <c r="I239">
        <f t="shared" si="7"/>
        <v>2</v>
      </c>
      <c r="J239">
        <v>8.57</v>
      </c>
      <c r="K239">
        <v>50</v>
      </c>
      <c r="L239" t="str">
        <f>CONCATENATE('Fixed Deposit'!C239," ",'Fixed Deposit'!K239)</f>
        <v>Shriram Finance 50</v>
      </c>
      <c r="M239" s="12">
        <f>VLOOKUP(L239,'Commercials '!$C$1:$D$15,2,)</f>
        <v>1.11E-2</v>
      </c>
      <c r="N239" s="13">
        <f t="shared" si="6"/>
        <v>122.10000000000001</v>
      </c>
    </row>
    <row r="240" spans="1:14" x14ac:dyDescent="0.25">
      <c r="A240" t="s">
        <v>10</v>
      </c>
      <c r="B240" t="s">
        <v>860</v>
      </c>
      <c r="C240" t="s">
        <v>12</v>
      </c>
      <c r="D240" t="s">
        <v>861</v>
      </c>
      <c r="E240" t="s">
        <v>862</v>
      </c>
      <c r="F240" t="s">
        <v>863</v>
      </c>
      <c r="G240" s="2">
        <v>50000</v>
      </c>
      <c r="H240" t="s">
        <v>864</v>
      </c>
      <c r="I240">
        <f t="shared" si="7"/>
        <v>2</v>
      </c>
      <c r="J240">
        <v>7.59</v>
      </c>
      <c r="K240">
        <v>12</v>
      </c>
      <c r="L240" t="str">
        <f>CONCATENATE('Fixed Deposit'!C240," ",'Fixed Deposit'!K240)</f>
        <v>Shriram Finance 12</v>
      </c>
      <c r="M240" s="12">
        <f>VLOOKUP(L240,'Commercials '!$C$1:$D$15,2,)</f>
        <v>2.5999999999999999E-3</v>
      </c>
      <c r="N240" s="13">
        <f t="shared" si="6"/>
        <v>130</v>
      </c>
    </row>
    <row r="241" spans="1:14" x14ac:dyDescent="0.25">
      <c r="A241" t="s">
        <v>10</v>
      </c>
      <c r="B241" t="s">
        <v>865</v>
      </c>
      <c r="C241" t="s">
        <v>12</v>
      </c>
      <c r="D241" t="s">
        <v>866</v>
      </c>
      <c r="E241" t="s">
        <v>867</v>
      </c>
      <c r="F241" t="s">
        <v>868</v>
      </c>
      <c r="G241" s="2">
        <v>50000</v>
      </c>
      <c r="H241" t="s">
        <v>869</v>
      </c>
      <c r="I241">
        <f t="shared" si="7"/>
        <v>2</v>
      </c>
      <c r="J241">
        <v>7.69</v>
      </c>
      <c r="K241">
        <v>12</v>
      </c>
      <c r="L241" t="str">
        <f>CONCATENATE('Fixed Deposit'!C241," ",'Fixed Deposit'!K241)</f>
        <v>Shriram Finance 12</v>
      </c>
      <c r="M241" s="12">
        <f>VLOOKUP(L241,'Commercials '!$C$1:$D$15,2,)</f>
        <v>2.5999999999999999E-3</v>
      </c>
      <c r="N241" s="13">
        <f t="shared" si="6"/>
        <v>130</v>
      </c>
    </row>
    <row r="242" spans="1:14" x14ac:dyDescent="0.25">
      <c r="A242" t="s">
        <v>10</v>
      </c>
      <c r="B242" t="s">
        <v>870</v>
      </c>
      <c r="C242" t="s">
        <v>12</v>
      </c>
      <c r="D242" t="s">
        <v>871</v>
      </c>
      <c r="E242" t="s">
        <v>872</v>
      </c>
      <c r="F242" t="s">
        <v>873</v>
      </c>
      <c r="G242" s="2">
        <v>10000</v>
      </c>
      <c r="H242" t="s">
        <v>874</v>
      </c>
      <c r="I242">
        <f t="shared" si="7"/>
        <v>2</v>
      </c>
      <c r="J242">
        <v>7.59</v>
      </c>
      <c r="K242">
        <v>12</v>
      </c>
      <c r="L242" t="str">
        <f>CONCATENATE('Fixed Deposit'!C242," ",'Fixed Deposit'!K242)</f>
        <v>Shriram Finance 12</v>
      </c>
      <c r="M242" s="12">
        <f>VLOOKUP(L242,'Commercials '!$C$1:$D$15,2,)</f>
        <v>2.5999999999999999E-3</v>
      </c>
      <c r="N242" s="13">
        <f t="shared" si="6"/>
        <v>26</v>
      </c>
    </row>
    <row r="243" spans="1:14" x14ac:dyDescent="0.25">
      <c r="A243" t="s">
        <v>10</v>
      </c>
      <c r="B243" t="s">
        <v>875</v>
      </c>
      <c r="C243" t="s">
        <v>12</v>
      </c>
      <c r="D243" t="s">
        <v>876</v>
      </c>
      <c r="E243" t="s">
        <v>877</v>
      </c>
      <c r="F243" t="s">
        <v>878</v>
      </c>
      <c r="G243" s="2">
        <v>5000</v>
      </c>
      <c r="H243" t="s">
        <v>879</v>
      </c>
      <c r="I243">
        <f t="shared" si="7"/>
        <v>2</v>
      </c>
      <c r="J243">
        <v>8.4700000000000006</v>
      </c>
      <c r="K243">
        <v>50</v>
      </c>
      <c r="L243" t="str">
        <f>CONCATENATE('Fixed Deposit'!C243," ",'Fixed Deposit'!K243)</f>
        <v>Shriram Finance 50</v>
      </c>
      <c r="M243" s="12">
        <f>VLOOKUP(L243,'Commercials '!$C$1:$D$15,2,)</f>
        <v>1.11E-2</v>
      </c>
      <c r="N243" s="13">
        <f t="shared" si="6"/>
        <v>55.5</v>
      </c>
    </row>
    <row r="244" spans="1:14" x14ac:dyDescent="0.25">
      <c r="A244" t="s">
        <v>10</v>
      </c>
      <c r="B244" t="s">
        <v>131</v>
      </c>
      <c r="C244" t="s">
        <v>12</v>
      </c>
      <c r="D244" t="s">
        <v>880</v>
      </c>
      <c r="E244" t="s">
        <v>881</v>
      </c>
      <c r="F244" t="s">
        <v>134</v>
      </c>
      <c r="G244" s="2">
        <v>8000</v>
      </c>
      <c r="H244" t="s">
        <v>879</v>
      </c>
      <c r="I244">
        <f t="shared" si="7"/>
        <v>2</v>
      </c>
      <c r="J244">
        <v>7.59</v>
      </c>
      <c r="K244">
        <v>12</v>
      </c>
      <c r="L244" t="str">
        <f>CONCATENATE('Fixed Deposit'!C244," ",'Fixed Deposit'!K244)</f>
        <v>Shriram Finance 12</v>
      </c>
      <c r="M244" s="12">
        <f>VLOOKUP(L244,'Commercials '!$C$1:$D$15,2,)</f>
        <v>2.5999999999999999E-3</v>
      </c>
      <c r="N244" s="13">
        <f t="shared" si="6"/>
        <v>20.8</v>
      </c>
    </row>
    <row r="245" spans="1:14" x14ac:dyDescent="0.25">
      <c r="A245" t="s">
        <v>10</v>
      </c>
      <c r="B245" t="s">
        <v>722</v>
      </c>
      <c r="C245" t="s">
        <v>12</v>
      </c>
      <c r="D245" t="s">
        <v>883</v>
      </c>
      <c r="E245" t="s">
        <v>884</v>
      </c>
      <c r="F245" t="s">
        <v>885</v>
      </c>
      <c r="G245" s="2">
        <v>100000</v>
      </c>
      <c r="H245" t="s">
        <v>882</v>
      </c>
      <c r="I245">
        <f t="shared" si="7"/>
        <v>2</v>
      </c>
      <c r="J245">
        <v>7.69</v>
      </c>
      <c r="K245">
        <v>12</v>
      </c>
      <c r="L245" t="str">
        <f>CONCATENATE('Fixed Deposit'!C245," ",'Fixed Deposit'!K245)</f>
        <v>Shriram Finance 12</v>
      </c>
      <c r="M245" s="12">
        <f>VLOOKUP(L245,'Commercials '!$C$1:$D$15,2,)</f>
        <v>2.5999999999999999E-3</v>
      </c>
      <c r="N245" s="13">
        <f t="shared" si="6"/>
        <v>260</v>
      </c>
    </row>
    <row r="246" spans="1:14" x14ac:dyDescent="0.25">
      <c r="A246" t="s">
        <v>10</v>
      </c>
      <c r="B246" t="s">
        <v>886</v>
      </c>
      <c r="C246" t="s">
        <v>12</v>
      </c>
      <c r="D246" t="s">
        <v>887</v>
      </c>
      <c r="E246" t="s">
        <v>888</v>
      </c>
      <c r="F246" t="s">
        <v>889</v>
      </c>
      <c r="G246" s="2">
        <v>50000</v>
      </c>
      <c r="H246" t="s">
        <v>890</v>
      </c>
      <c r="I246">
        <f t="shared" si="7"/>
        <v>2</v>
      </c>
      <c r="J246">
        <v>7.59</v>
      </c>
      <c r="K246">
        <v>12</v>
      </c>
      <c r="L246" t="str">
        <f>CONCATENATE('Fixed Deposit'!C246," ",'Fixed Deposit'!K246)</f>
        <v>Shriram Finance 12</v>
      </c>
      <c r="M246" s="12">
        <f>VLOOKUP(L246,'Commercials '!$C$1:$D$15,2,)</f>
        <v>2.5999999999999999E-3</v>
      </c>
      <c r="N246" s="13">
        <f t="shared" si="6"/>
        <v>130</v>
      </c>
    </row>
    <row r="247" spans="1:14" x14ac:dyDescent="0.25">
      <c r="A247" t="s">
        <v>10</v>
      </c>
      <c r="B247" t="s">
        <v>891</v>
      </c>
      <c r="C247" t="s">
        <v>12</v>
      </c>
      <c r="D247" t="s">
        <v>892</v>
      </c>
      <c r="E247" t="s">
        <v>893</v>
      </c>
      <c r="F247" t="s">
        <v>894</v>
      </c>
      <c r="G247" s="2">
        <v>50000</v>
      </c>
      <c r="H247" t="s">
        <v>890</v>
      </c>
      <c r="I247">
        <f t="shared" si="7"/>
        <v>2</v>
      </c>
      <c r="J247">
        <v>8.4700000000000006</v>
      </c>
      <c r="K247">
        <v>60</v>
      </c>
      <c r="L247" t="str">
        <f>CONCATENATE('Fixed Deposit'!C247," ",'Fixed Deposit'!K247)</f>
        <v>Shriram Finance 60</v>
      </c>
      <c r="M247" s="12">
        <f>VLOOKUP(L247,'Commercials '!$C$1:$D$15,2,)</f>
        <v>1.1900000000000001E-2</v>
      </c>
      <c r="N247" s="13">
        <f t="shared" si="6"/>
        <v>595</v>
      </c>
    </row>
    <row r="248" spans="1:14" x14ac:dyDescent="0.25">
      <c r="A248" t="s">
        <v>10</v>
      </c>
      <c r="B248" t="s">
        <v>895</v>
      </c>
      <c r="C248" t="s">
        <v>12</v>
      </c>
      <c r="D248" t="s">
        <v>896</v>
      </c>
      <c r="E248" t="s">
        <v>897</v>
      </c>
      <c r="F248" t="s">
        <v>898</v>
      </c>
      <c r="G248" s="2">
        <v>80000</v>
      </c>
      <c r="H248" t="s">
        <v>899</v>
      </c>
      <c r="I248">
        <f t="shared" si="7"/>
        <v>2</v>
      </c>
      <c r="J248">
        <v>7.69</v>
      </c>
      <c r="K248">
        <v>12</v>
      </c>
      <c r="L248" t="str">
        <f>CONCATENATE('Fixed Deposit'!C248," ",'Fixed Deposit'!K248)</f>
        <v>Shriram Finance 12</v>
      </c>
      <c r="M248" s="12">
        <f>VLOOKUP(L248,'Commercials '!$C$1:$D$15,2,)</f>
        <v>2.5999999999999999E-3</v>
      </c>
      <c r="N248" s="13">
        <f t="shared" si="6"/>
        <v>208</v>
      </c>
    </row>
    <row r="249" spans="1:14" x14ac:dyDescent="0.25">
      <c r="A249" t="s">
        <v>10</v>
      </c>
      <c r="B249" t="s">
        <v>778</v>
      </c>
      <c r="C249" t="s">
        <v>12</v>
      </c>
      <c r="D249" t="s">
        <v>900</v>
      </c>
      <c r="E249" t="s">
        <v>901</v>
      </c>
      <c r="F249" t="s">
        <v>902</v>
      </c>
      <c r="G249" s="2">
        <v>50000</v>
      </c>
      <c r="H249" t="s">
        <v>899</v>
      </c>
      <c r="I249">
        <f t="shared" si="7"/>
        <v>2</v>
      </c>
      <c r="J249">
        <v>8.4700000000000006</v>
      </c>
      <c r="K249">
        <v>50</v>
      </c>
      <c r="L249" t="str">
        <f>CONCATENATE('Fixed Deposit'!C249," ",'Fixed Deposit'!K249)</f>
        <v>Shriram Finance 50</v>
      </c>
      <c r="M249" s="12">
        <f>VLOOKUP(L249,'Commercials '!$C$1:$D$15,2,)</f>
        <v>1.11E-2</v>
      </c>
      <c r="N249" s="13">
        <f t="shared" si="6"/>
        <v>555</v>
      </c>
    </row>
    <row r="250" spans="1:14" x14ac:dyDescent="0.25">
      <c r="A250" t="s">
        <v>10</v>
      </c>
      <c r="B250" t="s">
        <v>903</v>
      </c>
      <c r="C250" t="s">
        <v>12</v>
      </c>
      <c r="D250" t="s">
        <v>904</v>
      </c>
      <c r="E250" t="s">
        <v>905</v>
      </c>
      <c r="F250" t="s">
        <v>906</v>
      </c>
      <c r="G250" s="2">
        <v>5000</v>
      </c>
      <c r="H250" t="s">
        <v>899</v>
      </c>
      <c r="I250">
        <f t="shared" si="7"/>
        <v>2</v>
      </c>
      <c r="J250">
        <v>7.59</v>
      </c>
      <c r="K250">
        <v>12</v>
      </c>
      <c r="L250" t="str">
        <f>CONCATENATE('Fixed Deposit'!C250," ",'Fixed Deposit'!K250)</f>
        <v>Shriram Finance 12</v>
      </c>
      <c r="M250" s="12">
        <f>VLOOKUP(L250,'Commercials '!$C$1:$D$15,2,)</f>
        <v>2.5999999999999999E-3</v>
      </c>
      <c r="N250" s="13">
        <f t="shared" si="6"/>
        <v>13</v>
      </c>
    </row>
    <row r="251" spans="1:14" x14ac:dyDescent="0.25">
      <c r="A251" t="s">
        <v>10</v>
      </c>
      <c r="B251" t="s">
        <v>907</v>
      </c>
      <c r="C251" t="s">
        <v>12</v>
      </c>
      <c r="D251" t="s">
        <v>908</v>
      </c>
      <c r="E251" t="s">
        <v>909</v>
      </c>
      <c r="F251" t="s">
        <v>910</v>
      </c>
      <c r="G251" s="2">
        <v>10000</v>
      </c>
      <c r="H251" t="s">
        <v>899</v>
      </c>
      <c r="I251">
        <f t="shared" si="7"/>
        <v>2</v>
      </c>
      <c r="J251">
        <v>7.59</v>
      </c>
      <c r="K251">
        <v>12</v>
      </c>
      <c r="L251" t="str">
        <f>CONCATENATE('Fixed Deposit'!C251," ",'Fixed Deposit'!K251)</f>
        <v>Shriram Finance 12</v>
      </c>
      <c r="M251" s="12">
        <f>VLOOKUP(L251,'Commercials '!$C$1:$D$15,2,)</f>
        <v>2.5999999999999999E-3</v>
      </c>
      <c r="N251" s="13">
        <f t="shared" si="6"/>
        <v>26</v>
      </c>
    </row>
    <row r="252" spans="1:14" x14ac:dyDescent="0.25">
      <c r="A252" t="s">
        <v>10</v>
      </c>
      <c r="B252" t="s">
        <v>911</v>
      </c>
      <c r="C252" t="s">
        <v>12</v>
      </c>
      <c r="D252" t="s">
        <v>912</v>
      </c>
      <c r="E252" t="s">
        <v>913</v>
      </c>
      <c r="F252" t="s">
        <v>914</v>
      </c>
      <c r="G252" s="2">
        <v>20000</v>
      </c>
      <c r="H252" t="s">
        <v>915</v>
      </c>
      <c r="I252">
        <f t="shared" si="7"/>
        <v>2</v>
      </c>
      <c r="J252">
        <v>7.59</v>
      </c>
      <c r="K252">
        <v>12</v>
      </c>
      <c r="L252" t="str">
        <f>CONCATENATE('Fixed Deposit'!C252," ",'Fixed Deposit'!K252)</f>
        <v>Shriram Finance 12</v>
      </c>
      <c r="M252" s="12">
        <f>VLOOKUP(L252,'Commercials '!$C$1:$D$15,2,)</f>
        <v>2.5999999999999999E-3</v>
      </c>
      <c r="N252" s="13">
        <f t="shared" si="6"/>
        <v>52</v>
      </c>
    </row>
    <row r="253" spans="1:14" x14ac:dyDescent="0.25">
      <c r="A253" t="s">
        <v>10</v>
      </c>
      <c r="B253" t="s">
        <v>131</v>
      </c>
      <c r="C253" t="s">
        <v>12</v>
      </c>
      <c r="D253" t="s">
        <v>916</v>
      </c>
      <c r="E253" t="s">
        <v>917</v>
      </c>
      <c r="F253" t="s">
        <v>134</v>
      </c>
      <c r="G253" s="2">
        <v>10000</v>
      </c>
      <c r="H253" t="s">
        <v>918</v>
      </c>
      <c r="I253">
        <f t="shared" si="7"/>
        <v>2</v>
      </c>
      <c r="J253">
        <v>7.59</v>
      </c>
      <c r="K253">
        <v>12</v>
      </c>
      <c r="L253" t="str">
        <f>CONCATENATE('Fixed Deposit'!C253," ",'Fixed Deposit'!K253)</f>
        <v>Shriram Finance 12</v>
      </c>
      <c r="M253" s="12">
        <f>VLOOKUP(L253,'Commercials '!$C$1:$D$15,2,)</f>
        <v>2.5999999999999999E-3</v>
      </c>
      <c r="N253" s="13">
        <f t="shared" si="6"/>
        <v>26</v>
      </c>
    </row>
    <row r="254" spans="1:14" x14ac:dyDescent="0.25">
      <c r="A254" t="s">
        <v>10</v>
      </c>
      <c r="B254" t="s">
        <v>919</v>
      </c>
      <c r="C254" t="s">
        <v>12</v>
      </c>
      <c r="D254" t="s">
        <v>920</v>
      </c>
      <c r="E254" t="s">
        <v>921</v>
      </c>
      <c r="F254" t="s">
        <v>922</v>
      </c>
      <c r="G254" s="2">
        <v>5000</v>
      </c>
      <c r="H254" t="s">
        <v>923</v>
      </c>
      <c r="I254">
        <f t="shared" si="7"/>
        <v>2</v>
      </c>
      <c r="J254">
        <v>7.59</v>
      </c>
      <c r="K254">
        <v>12</v>
      </c>
      <c r="L254" t="str">
        <f>CONCATENATE('Fixed Deposit'!C254," ",'Fixed Deposit'!K254)</f>
        <v>Shriram Finance 12</v>
      </c>
      <c r="M254" s="12">
        <f>VLOOKUP(L254,'Commercials '!$C$1:$D$15,2,)</f>
        <v>2.5999999999999999E-3</v>
      </c>
      <c r="N254" s="13">
        <f t="shared" si="6"/>
        <v>13</v>
      </c>
    </row>
    <row r="255" spans="1:14" x14ac:dyDescent="0.25">
      <c r="A255" t="s">
        <v>10</v>
      </c>
      <c r="B255" t="s">
        <v>924</v>
      </c>
      <c r="C255" t="s">
        <v>12</v>
      </c>
      <c r="D255" t="s">
        <v>925</v>
      </c>
      <c r="E255" t="s">
        <v>926</v>
      </c>
      <c r="F255" t="s">
        <v>927</v>
      </c>
      <c r="G255" s="2">
        <v>50000</v>
      </c>
      <c r="H255" t="s">
        <v>928</v>
      </c>
      <c r="I255">
        <f t="shared" si="7"/>
        <v>2</v>
      </c>
      <c r="J255">
        <v>7.69</v>
      </c>
      <c r="K255">
        <v>12</v>
      </c>
      <c r="L255" t="str">
        <f>CONCATENATE('Fixed Deposit'!C255," ",'Fixed Deposit'!K255)</f>
        <v>Shriram Finance 12</v>
      </c>
      <c r="M255" s="12">
        <f>VLOOKUP(L255,'Commercials '!$C$1:$D$15,2,)</f>
        <v>2.5999999999999999E-3</v>
      </c>
      <c r="N255" s="13">
        <f t="shared" si="6"/>
        <v>130</v>
      </c>
    </row>
    <row r="256" spans="1:14" x14ac:dyDescent="0.25">
      <c r="A256" t="s">
        <v>10</v>
      </c>
      <c r="B256" t="s">
        <v>929</v>
      </c>
      <c r="C256" t="s">
        <v>31</v>
      </c>
      <c r="D256" t="s">
        <v>930</v>
      </c>
      <c r="E256" t="s">
        <v>931</v>
      </c>
      <c r="F256" t="s">
        <v>932</v>
      </c>
      <c r="G256" s="2">
        <v>15000</v>
      </c>
      <c r="H256" t="s">
        <v>928</v>
      </c>
      <c r="I256">
        <f t="shared" si="7"/>
        <v>2</v>
      </c>
      <c r="J256">
        <v>8.1</v>
      </c>
      <c r="K256">
        <v>22</v>
      </c>
      <c r="L256" t="str">
        <f>CONCATENATE('Fixed Deposit'!C256," ",'Fixed Deposit'!K256)</f>
        <v>Bajaj Finance Ltd 22</v>
      </c>
      <c r="M256" s="12">
        <f>VLOOKUP(L256,'Commercials '!$C$1:$D$15,2,)</f>
        <v>4.7000000000000002E-3</v>
      </c>
      <c r="N256" s="13">
        <f t="shared" si="6"/>
        <v>70.5</v>
      </c>
    </row>
    <row r="257" spans="1:14" x14ac:dyDescent="0.25">
      <c r="A257" t="s">
        <v>10</v>
      </c>
      <c r="B257" t="s">
        <v>131</v>
      </c>
      <c r="C257" t="s">
        <v>12</v>
      </c>
      <c r="D257" t="s">
        <v>933</v>
      </c>
      <c r="E257" t="s">
        <v>934</v>
      </c>
      <c r="F257" t="s">
        <v>134</v>
      </c>
      <c r="G257" s="2">
        <v>20000</v>
      </c>
      <c r="H257" t="s">
        <v>928</v>
      </c>
      <c r="I257">
        <f t="shared" si="7"/>
        <v>2</v>
      </c>
      <c r="J257">
        <v>7.59</v>
      </c>
      <c r="K257">
        <v>12</v>
      </c>
      <c r="L257" t="str">
        <f>CONCATENATE('Fixed Deposit'!C257," ",'Fixed Deposit'!K257)</f>
        <v>Shriram Finance 12</v>
      </c>
      <c r="M257" s="12">
        <f>VLOOKUP(L257,'Commercials '!$C$1:$D$15,2,)</f>
        <v>2.5999999999999999E-3</v>
      </c>
      <c r="N257" s="13">
        <f t="shared" si="6"/>
        <v>52</v>
      </c>
    </row>
    <row r="258" spans="1:14" x14ac:dyDescent="0.25">
      <c r="A258" t="s">
        <v>10</v>
      </c>
      <c r="B258" t="s">
        <v>495</v>
      </c>
      <c r="C258" t="s">
        <v>12</v>
      </c>
      <c r="D258" t="s">
        <v>935</v>
      </c>
      <c r="E258" t="s">
        <v>936</v>
      </c>
      <c r="F258" t="s">
        <v>498</v>
      </c>
      <c r="G258" s="2">
        <v>5000</v>
      </c>
      <c r="H258" t="s">
        <v>937</v>
      </c>
      <c r="I258">
        <f t="shared" si="7"/>
        <v>2</v>
      </c>
      <c r="J258">
        <v>7.87</v>
      </c>
      <c r="K258">
        <v>24</v>
      </c>
      <c r="L258" t="str">
        <f>CONCATENATE('Fixed Deposit'!C258," ",'Fixed Deposit'!K258)</f>
        <v>Shriram Finance 24</v>
      </c>
      <c r="M258" s="12">
        <f>VLOOKUP(L258,'Commercials '!$C$1:$D$15,2,)</f>
        <v>5.1000000000000004E-3</v>
      </c>
      <c r="N258" s="13">
        <f t="shared" ref="N258:N303" si="8">G258*M258</f>
        <v>25.500000000000004</v>
      </c>
    </row>
    <row r="259" spans="1:14" x14ac:dyDescent="0.25">
      <c r="A259" t="s">
        <v>10</v>
      </c>
      <c r="B259" t="s">
        <v>619</v>
      </c>
      <c r="C259" t="s">
        <v>12</v>
      </c>
      <c r="D259" t="s">
        <v>938</v>
      </c>
      <c r="E259" t="s">
        <v>939</v>
      </c>
      <c r="F259" t="s">
        <v>622</v>
      </c>
      <c r="G259" s="2">
        <v>15000</v>
      </c>
      <c r="H259" t="s">
        <v>940</v>
      </c>
      <c r="I259">
        <f t="shared" ref="I259:I301" si="9">MONTH(H259)</f>
        <v>2</v>
      </c>
      <c r="J259">
        <v>7.59</v>
      </c>
      <c r="K259">
        <v>12</v>
      </c>
      <c r="L259" t="str">
        <f>CONCATENATE('Fixed Deposit'!C259," ",'Fixed Deposit'!K259)</f>
        <v>Shriram Finance 12</v>
      </c>
      <c r="M259" s="12">
        <f>VLOOKUP(L259,'Commercials '!$C$1:$D$15,2,)</f>
        <v>2.5999999999999999E-3</v>
      </c>
      <c r="N259" s="13">
        <f t="shared" si="8"/>
        <v>39</v>
      </c>
    </row>
    <row r="260" spans="1:14" x14ac:dyDescent="0.25">
      <c r="A260" t="s">
        <v>10</v>
      </c>
      <c r="B260" t="s">
        <v>131</v>
      </c>
      <c r="C260" t="s">
        <v>12</v>
      </c>
      <c r="D260" t="s">
        <v>941</v>
      </c>
      <c r="E260" t="s">
        <v>942</v>
      </c>
      <c r="F260" t="s">
        <v>134</v>
      </c>
      <c r="G260" s="2">
        <v>15000</v>
      </c>
      <c r="H260" t="s">
        <v>940</v>
      </c>
      <c r="I260">
        <f t="shared" si="9"/>
        <v>2</v>
      </c>
      <c r="J260">
        <v>7.59</v>
      </c>
      <c r="K260">
        <v>12</v>
      </c>
      <c r="L260" t="str">
        <f>CONCATENATE('Fixed Deposit'!C260," ",'Fixed Deposit'!K260)</f>
        <v>Shriram Finance 12</v>
      </c>
      <c r="M260" s="12">
        <f>VLOOKUP(L260,'Commercials '!$C$1:$D$15,2,)</f>
        <v>2.5999999999999999E-3</v>
      </c>
      <c r="N260" s="13">
        <f t="shared" si="8"/>
        <v>39</v>
      </c>
    </row>
    <row r="261" spans="1:14" x14ac:dyDescent="0.25">
      <c r="A261" t="s">
        <v>10</v>
      </c>
      <c r="B261" t="s">
        <v>327</v>
      </c>
      <c r="C261" t="s">
        <v>31</v>
      </c>
      <c r="D261" t="s">
        <v>943</v>
      </c>
      <c r="E261" t="s">
        <v>944</v>
      </c>
      <c r="F261" t="s">
        <v>330</v>
      </c>
      <c r="G261" s="2">
        <v>15000</v>
      </c>
      <c r="H261" t="s">
        <v>940</v>
      </c>
      <c r="I261">
        <f t="shared" si="9"/>
        <v>2</v>
      </c>
      <c r="J261">
        <v>7.6</v>
      </c>
      <c r="K261">
        <v>12</v>
      </c>
      <c r="L261" t="str">
        <f>CONCATENATE('Fixed Deposit'!C261," ",'Fixed Deposit'!K261)</f>
        <v>Bajaj Finance Ltd 12</v>
      </c>
      <c r="M261" s="12">
        <f>VLOOKUP(L261,'Commercials '!$C$1:$D$15,2,)</f>
        <v>4.7000000000000002E-3</v>
      </c>
      <c r="N261" s="13">
        <f t="shared" si="8"/>
        <v>70.5</v>
      </c>
    </row>
    <row r="262" spans="1:14" x14ac:dyDescent="0.25">
      <c r="A262" t="s">
        <v>10</v>
      </c>
      <c r="B262" t="s">
        <v>929</v>
      </c>
      <c r="C262" t="s">
        <v>31</v>
      </c>
      <c r="D262" t="s">
        <v>945</v>
      </c>
      <c r="E262" t="s">
        <v>946</v>
      </c>
      <c r="F262" t="s">
        <v>932</v>
      </c>
      <c r="G262" s="2">
        <v>25000</v>
      </c>
      <c r="H262" t="s">
        <v>940</v>
      </c>
      <c r="I262">
        <f t="shared" si="9"/>
        <v>2</v>
      </c>
      <c r="J262">
        <v>8.1</v>
      </c>
      <c r="K262">
        <v>22</v>
      </c>
      <c r="L262" t="str">
        <f>CONCATENATE('Fixed Deposit'!C262," ",'Fixed Deposit'!K262)</f>
        <v>Bajaj Finance Ltd 22</v>
      </c>
      <c r="M262" s="12">
        <f>VLOOKUP(L262,'Commercials '!$C$1:$D$15,2,)</f>
        <v>4.7000000000000002E-3</v>
      </c>
      <c r="N262" s="13">
        <f t="shared" si="8"/>
        <v>117.5</v>
      </c>
    </row>
    <row r="263" spans="1:14" x14ac:dyDescent="0.25">
      <c r="A263" t="s">
        <v>10</v>
      </c>
      <c r="B263" t="s">
        <v>947</v>
      </c>
      <c r="C263" t="s">
        <v>12</v>
      </c>
      <c r="D263" t="s">
        <v>948</v>
      </c>
      <c r="E263" t="s">
        <v>949</v>
      </c>
      <c r="F263" t="s">
        <v>950</v>
      </c>
      <c r="G263" s="2">
        <v>40000</v>
      </c>
      <c r="H263" t="s">
        <v>951</v>
      </c>
      <c r="I263">
        <f t="shared" si="9"/>
        <v>2</v>
      </c>
      <c r="J263">
        <v>8.0500000000000007</v>
      </c>
      <c r="K263">
        <v>30</v>
      </c>
      <c r="L263" t="str">
        <f>CONCATENATE('Fixed Deposit'!C263," ",'Fixed Deposit'!K263)</f>
        <v>Shriram Finance 30</v>
      </c>
      <c r="M263" s="12">
        <f>VLOOKUP(L263,'Commercials '!$C$1:$D$15,2,)</f>
        <v>5.1000000000000004E-3</v>
      </c>
      <c r="N263" s="13">
        <f t="shared" si="8"/>
        <v>204.00000000000003</v>
      </c>
    </row>
    <row r="264" spans="1:14" x14ac:dyDescent="0.25">
      <c r="A264" t="s">
        <v>10</v>
      </c>
      <c r="B264" t="s">
        <v>952</v>
      </c>
      <c r="C264" t="s">
        <v>12</v>
      </c>
      <c r="D264" t="s">
        <v>953</v>
      </c>
      <c r="E264" t="s">
        <v>954</v>
      </c>
      <c r="F264" t="s">
        <v>955</v>
      </c>
      <c r="G264" s="2">
        <v>25000</v>
      </c>
      <c r="H264" t="s">
        <v>956</v>
      </c>
      <c r="I264">
        <f t="shared" si="9"/>
        <v>2</v>
      </c>
      <c r="J264">
        <v>7.85</v>
      </c>
      <c r="K264">
        <v>12</v>
      </c>
      <c r="L264" t="str">
        <f>CONCATENATE('Fixed Deposit'!C264," ",'Fixed Deposit'!K264)</f>
        <v>Shriram Finance 12</v>
      </c>
      <c r="M264" s="12">
        <f>VLOOKUP(L264,'Commercials '!$C$1:$D$15,2,)</f>
        <v>2.5999999999999999E-3</v>
      </c>
      <c r="N264" s="13">
        <f t="shared" si="8"/>
        <v>65</v>
      </c>
    </row>
    <row r="265" spans="1:14" x14ac:dyDescent="0.25">
      <c r="A265" t="s">
        <v>10</v>
      </c>
      <c r="B265" t="s">
        <v>585</v>
      </c>
      <c r="C265" t="s">
        <v>12</v>
      </c>
      <c r="D265" t="s">
        <v>957</v>
      </c>
      <c r="E265" t="s">
        <v>958</v>
      </c>
      <c r="F265" t="s">
        <v>588</v>
      </c>
      <c r="G265" s="2">
        <v>5000</v>
      </c>
      <c r="H265" t="s">
        <v>959</v>
      </c>
      <c r="I265">
        <f t="shared" si="9"/>
        <v>1</v>
      </c>
      <c r="J265">
        <v>7.59</v>
      </c>
      <c r="K265">
        <v>12</v>
      </c>
      <c r="L265" t="str">
        <f>CONCATENATE('Fixed Deposit'!C265," ",'Fixed Deposit'!K265)</f>
        <v>Shriram Finance 12</v>
      </c>
      <c r="M265" s="12">
        <f>VLOOKUP(L265,'Commercials '!$C$1:$D$15,2,)</f>
        <v>2.5999999999999999E-3</v>
      </c>
      <c r="N265" s="13">
        <f t="shared" si="8"/>
        <v>13</v>
      </c>
    </row>
    <row r="266" spans="1:14" x14ac:dyDescent="0.25">
      <c r="A266" t="s">
        <v>10</v>
      </c>
      <c r="B266" t="s">
        <v>327</v>
      </c>
      <c r="C266" t="s">
        <v>12</v>
      </c>
      <c r="D266" t="s">
        <v>960</v>
      </c>
      <c r="E266" t="s">
        <v>961</v>
      </c>
      <c r="F266" t="s">
        <v>330</v>
      </c>
      <c r="G266" s="2">
        <v>5000</v>
      </c>
      <c r="H266" t="s">
        <v>959</v>
      </c>
      <c r="I266">
        <f t="shared" si="9"/>
        <v>1</v>
      </c>
      <c r="J266">
        <v>7.59</v>
      </c>
      <c r="K266">
        <v>12</v>
      </c>
      <c r="L266" t="str">
        <f>CONCATENATE('Fixed Deposit'!C266," ",'Fixed Deposit'!K266)</f>
        <v>Shriram Finance 12</v>
      </c>
      <c r="M266" s="12">
        <f>VLOOKUP(L266,'Commercials '!$C$1:$D$15,2,)</f>
        <v>2.5999999999999999E-3</v>
      </c>
      <c r="N266" s="13">
        <f t="shared" si="8"/>
        <v>13</v>
      </c>
    </row>
    <row r="267" spans="1:14" x14ac:dyDescent="0.25">
      <c r="A267" t="s">
        <v>10</v>
      </c>
      <c r="B267" t="s">
        <v>962</v>
      </c>
      <c r="C267" t="s">
        <v>12</v>
      </c>
      <c r="D267" t="s">
        <v>963</v>
      </c>
      <c r="E267" t="s">
        <v>964</v>
      </c>
      <c r="F267" t="s">
        <v>965</v>
      </c>
      <c r="G267" s="2">
        <v>5000</v>
      </c>
      <c r="H267" t="s">
        <v>959</v>
      </c>
      <c r="I267">
        <f t="shared" si="9"/>
        <v>1</v>
      </c>
      <c r="J267">
        <v>8.4700000000000006</v>
      </c>
      <c r="K267">
        <v>60</v>
      </c>
      <c r="L267" t="str">
        <f>CONCATENATE('Fixed Deposit'!C267," ",'Fixed Deposit'!K267)</f>
        <v>Shriram Finance 60</v>
      </c>
      <c r="M267" s="12">
        <f>VLOOKUP(L267,'Commercials '!$C$1:$D$15,2,)</f>
        <v>1.1900000000000001E-2</v>
      </c>
      <c r="N267" s="13">
        <f t="shared" si="8"/>
        <v>59.500000000000007</v>
      </c>
    </row>
    <row r="268" spans="1:14" x14ac:dyDescent="0.25">
      <c r="A268" t="s">
        <v>10</v>
      </c>
      <c r="B268" t="s">
        <v>962</v>
      </c>
      <c r="C268" t="s">
        <v>12</v>
      </c>
      <c r="D268" t="s">
        <v>966</v>
      </c>
      <c r="E268" t="s">
        <v>967</v>
      </c>
      <c r="F268" t="s">
        <v>965</v>
      </c>
      <c r="G268" s="2">
        <v>5000</v>
      </c>
      <c r="H268" t="s">
        <v>959</v>
      </c>
      <c r="I268">
        <f t="shared" si="9"/>
        <v>1</v>
      </c>
      <c r="J268">
        <v>8.4700000000000006</v>
      </c>
      <c r="K268">
        <v>60</v>
      </c>
      <c r="L268" t="str">
        <f>CONCATENATE('Fixed Deposit'!C268," ",'Fixed Deposit'!K268)</f>
        <v>Shriram Finance 60</v>
      </c>
      <c r="M268" s="12">
        <f>VLOOKUP(L268,'Commercials '!$C$1:$D$15,2,)</f>
        <v>1.1900000000000001E-2</v>
      </c>
      <c r="N268" s="13">
        <f t="shared" si="8"/>
        <v>59.500000000000007</v>
      </c>
    </row>
    <row r="269" spans="1:14" x14ac:dyDescent="0.25">
      <c r="A269" t="s">
        <v>10</v>
      </c>
      <c r="B269" t="s">
        <v>968</v>
      </c>
      <c r="C269" t="s">
        <v>12</v>
      </c>
      <c r="D269" t="s">
        <v>969</v>
      </c>
      <c r="E269" t="s">
        <v>970</v>
      </c>
      <c r="F269" t="s">
        <v>971</v>
      </c>
      <c r="G269" s="2">
        <v>12000</v>
      </c>
      <c r="H269" t="s">
        <v>959</v>
      </c>
      <c r="I269">
        <f t="shared" si="9"/>
        <v>1</v>
      </c>
      <c r="J269">
        <v>7.59</v>
      </c>
      <c r="K269">
        <v>12</v>
      </c>
      <c r="L269" t="str">
        <f>CONCATENATE('Fixed Deposit'!C269," ",'Fixed Deposit'!K269)</f>
        <v>Shriram Finance 12</v>
      </c>
      <c r="M269" s="12">
        <f>VLOOKUP(L269,'Commercials '!$C$1:$D$15,2,)</f>
        <v>2.5999999999999999E-3</v>
      </c>
      <c r="N269" s="13">
        <f t="shared" si="8"/>
        <v>31.2</v>
      </c>
    </row>
    <row r="270" spans="1:14" x14ac:dyDescent="0.25">
      <c r="A270" t="s">
        <v>10</v>
      </c>
      <c r="B270" t="s">
        <v>962</v>
      </c>
      <c r="C270" t="s">
        <v>12</v>
      </c>
      <c r="D270" t="s">
        <v>972</v>
      </c>
      <c r="E270" t="s">
        <v>973</v>
      </c>
      <c r="F270" t="s">
        <v>965</v>
      </c>
      <c r="G270" s="2">
        <v>5000</v>
      </c>
      <c r="H270" t="s">
        <v>974</v>
      </c>
      <c r="I270">
        <f t="shared" si="9"/>
        <v>1</v>
      </c>
      <c r="J270">
        <v>8.4700000000000006</v>
      </c>
      <c r="K270">
        <v>60</v>
      </c>
      <c r="L270" t="str">
        <f>CONCATENATE('Fixed Deposit'!C270," ",'Fixed Deposit'!K270)</f>
        <v>Shriram Finance 60</v>
      </c>
      <c r="M270" s="12">
        <f>VLOOKUP(L270,'Commercials '!$C$1:$D$15,2,)</f>
        <v>1.1900000000000001E-2</v>
      </c>
      <c r="N270" s="13">
        <f t="shared" si="8"/>
        <v>59.500000000000007</v>
      </c>
    </row>
    <row r="271" spans="1:14" x14ac:dyDescent="0.25">
      <c r="A271" t="s">
        <v>10</v>
      </c>
      <c r="B271" t="s">
        <v>417</v>
      </c>
      <c r="C271" t="s">
        <v>12</v>
      </c>
      <c r="D271" t="s">
        <v>975</v>
      </c>
      <c r="E271" t="s">
        <v>976</v>
      </c>
      <c r="F271" t="s">
        <v>420</v>
      </c>
      <c r="G271" s="2">
        <v>11000</v>
      </c>
      <c r="H271" t="s">
        <v>977</v>
      </c>
      <c r="I271">
        <f t="shared" si="9"/>
        <v>1</v>
      </c>
      <c r="J271">
        <v>8.57</v>
      </c>
      <c r="K271">
        <v>50</v>
      </c>
      <c r="L271" t="str">
        <f>CONCATENATE('Fixed Deposit'!C271," ",'Fixed Deposit'!K271)</f>
        <v>Shriram Finance 50</v>
      </c>
      <c r="M271" s="12">
        <f>VLOOKUP(L271,'Commercials '!$C$1:$D$15,2,)</f>
        <v>1.11E-2</v>
      </c>
      <c r="N271" s="13">
        <f t="shared" si="8"/>
        <v>122.10000000000001</v>
      </c>
    </row>
    <row r="272" spans="1:14" x14ac:dyDescent="0.25">
      <c r="A272" t="s">
        <v>10</v>
      </c>
      <c r="B272" t="s">
        <v>978</v>
      </c>
      <c r="C272" t="s">
        <v>12</v>
      </c>
      <c r="D272" t="s">
        <v>979</v>
      </c>
      <c r="E272" t="s">
        <v>980</v>
      </c>
      <c r="F272" t="s">
        <v>981</v>
      </c>
      <c r="G272" s="2">
        <v>5000</v>
      </c>
      <c r="H272" t="s">
        <v>977</v>
      </c>
      <c r="I272">
        <f t="shared" si="9"/>
        <v>1</v>
      </c>
      <c r="J272">
        <v>7.69</v>
      </c>
      <c r="K272">
        <v>12</v>
      </c>
      <c r="L272" t="str">
        <f>CONCATENATE('Fixed Deposit'!C272," ",'Fixed Deposit'!K272)</f>
        <v>Shriram Finance 12</v>
      </c>
      <c r="M272" s="12">
        <f>VLOOKUP(L272,'Commercials '!$C$1:$D$15,2,)</f>
        <v>2.5999999999999999E-3</v>
      </c>
      <c r="N272" s="13">
        <f t="shared" si="8"/>
        <v>13</v>
      </c>
    </row>
    <row r="273" spans="1:14" x14ac:dyDescent="0.25">
      <c r="A273" t="s">
        <v>10</v>
      </c>
      <c r="B273" t="s">
        <v>982</v>
      </c>
      <c r="C273" t="s">
        <v>12</v>
      </c>
      <c r="D273" t="s">
        <v>983</v>
      </c>
      <c r="E273" t="s">
        <v>984</v>
      </c>
      <c r="F273" t="s">
        <v>985</v>
      </c>
      <c r="G273" s="2">
        <v>10000</v>
      </c>
      <c r="H273" t="s">
        <v>986</v>
      </c>
      <c r="I273">
        <f t="shared" si="9"/>
        <v>1</v>
      </c>
      <c r="J273">
        <v>9.07</v>
      </c>
      <c r="K273">
        <v>60</v>
      </c>
      <c r="L273" t="str">
        <f>CONCATENATE('Fixed Deposit'!C273," ",'Fixed Deposit'!K273)</f>
        <v>Shriram Finance 60</v>
      </c>
      <c r="M273" s="12">
        <f>VLOOKUP(L273,'Commercials '!$C$1:$D$15,2,)</f>
        <v>1.1900000000000001E-2</v>
      </c>
      <c r="N273" s="13">
        <f t="shared" si="8"/>
        <v>119.00000000000001</v>
      </c>
    </row>
    <row r="274" spans="1:14" x14ac:dyDescent="0.25">
      <c r="A274" t="s">
        <v>10</v>
      </c>
      <c r="B274" t="s">
        <v>131</v>
      </c>
      <c r="C274" t="s">
        <v>12</v>
      </c>
      <c r="D274" t="s">
        <v>987</v>
      </c>
      <c r="E274" t="s">
        <v>988</v>
      </c>
      <c r="F274" t="s">
        <v>134</v>
      </c>
      <c r="G274" s="2">
        <v>6000</v>
      </c>
      <c r="H274" t="s">
        <v>989</v>
      </c>
      <c r="I274">
        <f t="shared" si="9"/>
        <v>1</v>
      </c>
      <c r="J274">
        <v>7.85</v>
      </c>
      <c r="K274">
        <v>12</v>
      </c>
      <c r="L274" t="str">
        <f>CONCATENATE('Fixed Deposit'!C274," ",'Fixed Deposit'!K274)</f>
        <v>Shriram Finance 12</v>
      </c>
      <c r="M274" s="12">
        <f>VLOOKUP(L274,'Commercials '!$C$1:$D$15,2,)</f>
        <v>2.5999999999999999E-3</v>
      </c>
      <c r="N274" s="13">
        <f t="shared" si="8"/>
        <v>15.6</v>
      </c>
    </row>
    <row r="275" spans="1:14" x14ac:dyDescent="0.25">
      <c r="A275" t="s">
        <v>10</v>
      </c>
      <c r="B275" t="s">
        <v>585</v>
      </c>
      <c r="C275" t="s">
        <v>12</v>
      </c>
      <c r="D275" t="s">
        <v>990</v>
      </c>
      <c r="E275" t="s">
        <v>991</v>
      </c>
      <c r="F275" t="s">
        <v>588</v>
      </c>
      <c r="G275" s="2">
        <v>5000</v>
      </c>
      <c r="H275" t="s">
        <v>989</v>
      </c>
      <c r="I275">
        <f t="shared" si="9"/>
        <v>1</v>
      </c>
      <c r="J275">
        <v>7.59</v>
      </c>
      <c r="K275">
        <v>12</v>
      </c>
      <c r="L275" t="str">
        <f>CONCATENATE('Fixed Deposit'!C275," ",'Fixed Deposit'!K275)</f>
        <v>Shriram Finance 12</v>
      </c>
      <c r="M275" s="12">
        <f>VLOOKUP(L275,'Commercials '!$C$1:$D$15,2,)</f>
        <v>2.5999999999999999E-3</v>
      </c>
      <c r="N275" s="13">
        <f t="shared" si="8"/>
        <v>13</v>
      </c>
    </row>
    <row r="276" spans="1:14" x14ac:dyDescent="0.25">
      <c r="A276" t="s">
        <v>10</v>
      </c>
      <c r="B276" t="s">
        <v>992</v>
      </c>
      <c r="C276" t="s">
        <v>12</v>
      </c>
      <c r="D276" t="s">
        <v>993</v>
      </c>
      <c r="E276" t="s">
        <v>994</v>
      </c>
      <c r="F276" t="s">
        <v>995</v>
      </c>
      <c r="G276" s="2">
        <v>5000</v>
      </c>
      <c r="H276" t="s">
        <v>996</v>
      </c>
      <c r="I276">
        <f t="shared" si="9"/>
        <v>1</v>
      </c>
      <c r="J276">
        <v>7.59</v>
      </c>
      <c r="K276">
        <v>12</v>
      </c>
      <c r="L276" t="str">
        <f>CONCATENATE('Fixed Deposit'!C276," ",'Fixed Deposit'!K276)</f>
        <v>Shriram Finance 12</v>
      </c>
      <c r="M276" s="12">
        <f>VLOOKUP(L276,'Commercials '!$C$1:$D$15,2,)</f>
        <v>2.5999999999999999E-3</v>
      </c>
      <c r="N276" s="13">
        <f t="shared" si="8"/>
        <v>13</v>
      </c>
    </row>
    <row r="277" spans="1:14" x14ac:dyDescent="0.25">
      <c r="A277" t="s">
        <v>10</v>
      </c>
      <c r="B277" t="s">
        <v>982</v>
      </c>
      <c r="C277" t="s">
        <v>12</v>
      </c>
      <c r="D277" t="s">
        <v>997</v>
      </c>
      <c r="E277" t="s">
        <v>998</v>
      </c>
      <c r="F277" t="s">
        <v>985</v>
      </c>
      <c r="G277" s="2">
        <v>10000</v>
      </c>
      <c r="H277" t="s">
        <v>999</v>
      </c>
      <c r="I277">
        <f t="shared" si="9"/>
        <v>1</v>
      </c>
      <c r="J277">
        <v>9.07</v>
      </c>
      <c r="K277">
        <v>60</v>
      </c>
      <c r="L277" t="str">
        <f>CONCATENATE('Fixed Deposit'!C277," ",'Fixed Deposit'!K277)</f>
        <v>Shriram Finance 60</v>
      </c>
      <c r="M277" s="12">
        <f>VLOOKUP(L277,'Commercials '!$C$1:$D$15,2,)</f>
        <v>1.1900000000000001E-2</v>
      </c>
      <c r="N277" s="13">
        <f t="shared" si="8"/>
        <v>119.00000000000001</v>
      </c>
    </row>
    <row r="278" spans="1:14" x14ac:dyDescent="0.25">
      <c r="A278" t="s">
        <v>10</v>
      </c>
      <c r="B278" t="s">
        <v>1000</v>
      </c>
      <c r="C278" t="s">
        <v>12</v>
      </c>
      <c r="D278" t="s">
        <v>1001</v>
      </c>
      <c r="E278" t="s">
        <v>1002</v>
      </c>
      <c r="F278" t="s">
        <v>1003</v>
      </c>
      <c r="G278" s="2">
        <v>5000</v>
      </c>
      <c r="H278" t="s">
        <v>1004</v>
      </c>
      <c r="I278">
        <f t="shared" si="9"/>
        <v>1</v>
      </c>
      <c r="J278">
        <v>8.4700000000000006</v>
      </c>
      <c r="K278">
        <v>50</v>
      </c>
      <c r="L278" t="str">
        <f>CONCATENATE('Fixed Deposit'!C278," ",'Fixed Deposit'!K278)</f>
        <v>Shriram Finance 50</v>
      </c>
      <c r="M278" s="12">
        <f>VLOOKUP(L278,'Commercials '!$C$1:$D$15,2,)</f>
        <v>1.11E-2</v>
      </c>
      <c r="N278" s="13">
        <f t="shared" si="8"/>
        <v>55.5</v>
      </c>
    </row>
    <row r="279" spans="1:14" x14ac:dyDescent="0.25">
      <c r="A279" t="s">
        <v>10</v>
      </c>
      <c r="B279" t="s">
        <v>585</v>
      </c>
      <c r="C279" t="s">
        <v>12</v>
      </c>
      <c r="D279" t="s">
        <v>1005</v>
      </c>
      <c r="E279" t="s">
        <v>1006</v>
      </c>
      <c r="F279" t="s">
        <v>588</v>
      </c>
      <c r="G279" s="2">
        <v>5000</v>
      </c>
      <c r="H279" t="s">
        <v>1007</v>
      </c>
      <c r="I279">
        <f t="shared" si="9"/>
        <v>1</v>
      </c>
      <c r="J279">
        <v>7.59</v>
      </c>
      <c r="K279">
        <v>12</v>
      </c>
      <c r="L279" t="str">
        <f>CONCATENATE('Fixed Deposit'!C279," ",'Fixed Deposit'!K279)</f>
        <v>Shriram Finance 12</v>
      </c>
      <c r="M279" s="12">
        <f>VLOOKUP(L279,'Commercials '!$C$1:$D$15,2,)</f>
        <v>2.5999999999999999E-3</v>
      </c>
      <c r="N279" s="13">
        <f t="shared" si="8"/>
        <v>13</v>
      </c>
    </row>
    <row r="280" spans="1:14" x14ac:dyDescent="0.25">
      <c r="A280" t="s">
        <v>10</v>
      </c>
      <c r="B280" t="s">
        <v>982</v>
      </c>
      <c r="C280" t="s">
        <v>12</v>
      </c>
      <c r="D280" t="s">
        <v>1008</v>
      </c>
      <c r="E280" t="s">
        <v>1009</v>
      </c>
      <c r="F280" t="s">
        <v>985</v>
      </c>
      <c r="G280" s="2">
        <v>10000</v>
      </c>
      <c r="H280" t="s">
        <v>1010</v>
      </c>
      <c r="I280">
        <f t="shared" si="9"/>
        <v>1</v>
      </c>
      <c r="J280">
        <v>9.07</v>
      </c>
      <c r="K280">
        <v>60</v>
      </c>
      <c r="L280" t="str">
        <f>CONCATENATE('Fixed Deposit'!C280," ",'Fixed Deposit'!K280)</f>
        <v>Shriram Finance 60</v>
      </c>
      <c r="M280" s="12">
        <f>VLOOKUP(L280,'Commercials '!$C$1:$D$15,2,)</f>
        <v>1.1900000000000001E-2</v>
      </c>
      <c r="N280" s="13">
        <f t="shared" si="8"/>
        <v>119.00000000000001</v>
      </c>
    </row>
    <row r="281" spans="1:14" x14ac:dyDescent="0.25">
      <c r="A281" t="s">
        <v>10</v>
      </c>
      <c r="B281" t="s">
        <v>1011</v>
      </c>
      <c r="C281" t="s">
        <v>12</v>
      </c>
      <c r="D281" t="s">
        <v>1012</v>
      </c>
      <c r="E281" t="s">
        <v>1013</v>
      </c>
      <c r="F281" t="s">
        <v>1014</v>
      </c>
      <c r="G281" s="2">
        <v>57000</v>
      </c>
      <c r="H281" t="s">
        <v>1010</v>
      </c>
      <c r="I281">
        <f t="shared" si="9"/>
        <v>1</v>
      </c>
      <c r="J281">
        <v>8.4700000000000006</v>
      </c>
      <c r="K281">
        <v>50</v>
      </c>
      <c r="L281" t="str">
        <f>CONCATENATE('Fixed Deposit'!C281," ",'Fixed Deposit'!K281)</f>
        <v>Shriram Finance 50</v>
      </c>
      <c r="M281" s="12">
        <f>VLOOKUP(L281,'Commercials '!$C$1:$D$15,2,)</f>
        <v>1.11E-2</v>
      </c>
      <c r="N281" s="13">
        <f t="shared" si="8"/>
        <v>632.70000000000005</v>
      </c>
    </row>
    <row r="282" spans="1:14" x14ac:dyDescent="0.25">
      <c r="A282" t="s">
        <v>10</v>
      </c>
      <c r="B282" t="s">
        <v>1015</v>
      </c>
      <c r="C282" t="s">
        <v>12</v>
      </c>
      <c r="D282" t="s">
        <v>1016</v>
      </c>
      <c r="E282" t="s">
        <v>1017</v>
      </c>
      <c r="F282" t="s">
        <v>1018</v>
      </c>
      <c r="G282" s="2">
        <v>15000</v>
      </c>
      <c r="H282" t="s">
        <v>1010</v>
      </c>
      <c r="I282">
        <f t="shared" si="9"/>
        <v>1</v>
      </c>
      <c r="J282">
        <v>8.42</v>
      </c>
      <c r="K282">
        <v>42</v>
      </c>
      <c r="L282" t="str">
        <f>CONCATENATE('Fixed Deposit'!C282," ",'Fixed Deposit'!K282)</f>
        <v>Shriram Finance 42</v>
      </c>
      <c r="M282" s="12">
        <f>VLOOKUP(L282,'Commercials '!$C$1:$D$15,2,)</f>
        <v>1.0200000000000001E-2</v>
      </c>
      <c r="N282" s="13">
        <f t="shared" si="8"/>
        <v>153</v>
      </c>
    </row>
    <row r="283" spans="1:14" x14ac:dyDescent="0.25">
      <c r="A283" t="s">
        <v>10</v>
      </c>
      <c r="B283" t="s">
        <v>962</v>
      </c>
      <c r="C283" t="s">
        <v>12</v>
      </c>
      <c r="D283" t="s">
        <v>1019</v>
      </c>
      <c r="E283" t="s">
        <v>1020</v>
      </c>
      <c r="F283" t="s">
        <v>965</v>
      </c>
      <c r="G283" s="2">
        <v>5000</v>
      </c>
      <c r="H283" t="s">
        <v>1021</v>
      </c>
      <c r="I283">
        <f t="shared" si="9"/>
        <v>1</v>
      </c>
      <c r="J283">
        <v>8.4700000000000006</v>
      </c>
      <c r="K283">
        <v>60</v>
      </c>
      <c r="L283" t="str">
        <f>CONCATENATE('Fixed Deposit'!C283," ",'Fixed Deposit'!K283)</f>
        <v>Shriram Finance 60</v>
      </c>
      <c r="M283" s="12">
        <f>VLOOKUP(L283,'Commercials '!$C$1:$D$15,2,)</f>
        <v>1.1900000000000001E-2</v>
      </c>
      <c r="N283" s="13">
        <f t="shared" si="8"/>
        <v>59.500000000000007</v>
      </c>
    </row>
    <row r="284" spans="1:14" x14ac:dyDescent="0.25">
      <c r="A284" t="s">
        <v>10</v>
      </c>
      <c r="B284" t="s">
        <v>417</v>
      </c>
      <c r="C284" t="s">
        <v>12</v>
      </c>
      <c r="D284" t="s">
        <v>1022</v>
      </c>
      <c r="E284" t="s">
        <v>1023</v>
      </c>
      <c r="F284" t="s">
        <v>420</v>
      </c>
      <c r="G284" s="2">
        <v>11000</v>
      </c>
      <c r="H284" t="s">
        <v>1021</v>
      </c>
      <c r="I284">
        <f t="shared" si="9"/>
        <v>1</v>
      </c>
      <c r="J284">
        <v>8.57</v>
      </c>
      <c r="K284">
        <v>50</v>
      </c>
      <c r="L284" t="str">
        <f>CONCATENATE('Fixed Deposit'!C284," ",'Fixed Deposit'!K284)</f>
        <v>Shriram Finance 50</v>
      </c>
      <c r="M284" s="12">
        <f>VLOOKUP(L284,'Commercials '!$C$1:$D$15,2,)</f>
        <v>1.11E-2</v>
      </c>
      <c r="N284" s="13">
        <f t="shared" si="8"/>
        <v>122.10000000000001</v>
      </c>
    </row>
    <row r="285" spans="1:14" x14ac:dyDescent="0.25">
      <c r="A285" t="s">
        <v>10</v>
      </c>
      <c r="B285" t="s">
        <v>962</v>
      </c>
      <c r="C285" t="s">
        <v>12</v>
      </c>
      <c r="D285" t="s">
        <v>1024</v>
      </c>
      <c r="E285" t="s">
        <v>1025</v>
      </c>
      <c r="F285" t="s">
        <v>965</v>
      </c>
      <c r="G285" s="2">
        <v>5000</v>
      </c>
      <c r="H285" t="s">
        <v>1026</v>
      </c>
      <c r="I285">
        <f t="shared" si="9"/>
        <v>1</v>
      </c>
      <c r="J285">
        <v>8.4700000000000006</v>
      </c>
      <c r="K285">
        <v>60</v>
      </c>
      <c r="L285" t="str">
        <f>CONCATENATE('Fixed Deposit'!C285," ",'Fixed Deposit'!K285)</f>
        <v>Shriram Finance 60</v>
      </c>
      <c r="M285" s="12">
        <f>VLOOKUP(L285,'Commercials '!$C$1:$D$15,2,)</f>
        <v>1.1900000000000001E-2</v>
      </c>
      <c r="N285" s="13">
        <f t="shared" si="8"/>
        <v>59.500000000000007</v>
      </c>
    </row>
    <row r="286" spans="1:14" x14ac:dyDescent="0.25">
      <c r="A286" t="s">
        <v>10</v>
      </c>
      <c r="B286" t="s">
        <v>1027</v>
      </c>
      <c r="C286" t="s">
        <v>12</v>
      </c>
      <c r="D286" t="s">
        <v>1028</v>
      </c>
      <c r="E286" t="s">
        <v>1029</v>
      </c>
      <c r="F286" t="s">
        <v>1030</v>
      </c>
      <c r="G286" s="2">
        <v>20000</v>
      </c>
      <c r="H286" t="s">
        <v>1031</v>
      </c>
      <c r="I286">
        <f t="shared" si="9"/>
        <v>1</v>
      </c>
      <c r="J286">
        <v>7.59</v>
      </c>
      <c r="K286">
        <v>12</v>
      </c>
      <c r="L286" t="str">
        <f>CONCATENATE('Fixed Deposit'!C286," ",'Fixed Deposit'!K286)</f>
        <v>Shriram Finance 12</v>
      </c>
      <c r="M286" s="12">
        <f>VLOOKUP(L286,'Commercials '!$C$1:$D$15,2,)</f>
        <v>2.5999999999999999E-3</v>
      </c>
      <c r="N286" s="13">
        <f t="shared" si="8"/>
        <v>52</v>
      </c>
    </row>
    <row r="287" spans="1:14" x14ac:dyDescent="0.25">
      <c r="A287" t="s">
        <v>10</v>
      </c>
      <c r="B287" t="s">
        <v>619</v>
      </c>
      <c r="C287" t="s">
        <v>12</v>
      </c>
      <c r="D287" t="s">
        <v>1032</v>
      </c>
      <c r="E287" t="s">
        <v>1033</v>
      </c>
      <c r="F287" t="s">
        <v>622</v>
      </c>
      <c r="G287" s="2">
        <v>5000</v>
      </c>
      <c r="H287" t="s">
        <v>1034</v>
      </c>
      <c r="I287">
        <f t="shared" si="9"/>
        <v>1</v>
      </c>
      <c r="J287">
        <v>7.59</v>
      </c>
      <c r="K287">
        <v>12</v>
      </c>
      <c r="L287" t="str">
        <f>CONCATENATE('Fixed Deposit'!C287," ",'Fixed Deposit'!K287)</f>
        <v>Shriram Finance 12</v>
      </c>
      <c r="M287" s="12">
        <f>VLOOKUP(L287,'Commercials '!$C$1:$D$15,2,)</f>
        <v>2.5999999999999999E-3</v>
      </c>
      <c r="N287" s="13">
        <f t="shared" si="8"/>
        <v>13</v>
      </c>
    </row>
    <row r="288" spans="1:14" x14ac:dyDescent="0.25">
      <c r="A288" t="s">
        <v>10</v>
      </c>
      <c r="B288" t="s">
        <v>1035</v>
      </c>
      <c r="C288" t="s">
        <v>12</v>
      </c>
      <c r="D288" t="s">
        <v>1036</v>
      </c>
      <c r="E288" t="s">
        <v>1037</v>
      </c>
      <c r="F288" t="s">
        <v>1038</v>
      </c>
      <c r="G288" s="2">
        <v>5000</v>
      </c>
      <c r="H288" t="s">
        <v>1034</v>
      </c>
      <c r="I288">
        <f t="shared" si="9"/>
        <v>1</v>
      </c>
      <c r="J288">
        <v>8.4700000000000006</v>
      </c>
      <c r="K288">
        <v>60</v>
      </c>
      <c r="L288" t="str">
        <f>CONCATENATE('Fixed Deposit'!C288," ",'Fixed Deposit'!K288)</f>
        <v>Shriram Finance 60</v>
      </c>
      <c r="M288" s="12">
        <f>VLOOKUP(L288,'Commercials '!$C$1:$D$15,2,)</f>
        <v>1.1900000000000001E-2</v>
      </c>
      <c r="N288" s="13">
        <f t="shared" si="8"/>
        <v>59.500000000000007</v>
      </c>
    </row>
    <row r="289" spans="1:14" x14ac:dyDescent="0.25">
      <c r="A289" t="s">
        <v>10</v>
      </c>
      <c r="B289" t="s">
        <v>417</v>
      </c>
      <c r="C289" t="s">
        <v>12</v>
      </c>
      <c r="D289" t="s">
        <v>1039</v>
      </c>
      <c r="E289" t="s">
        <v>1040</v>
      </c>
      <c r="F289" t="s">
        <v>420</v>
      </c>
      <c r="G289" s="2">
        <v>11000</v>
      </c>
      <c r="H289" t="s">
        <v>1034</v>
      </c>
      <c r="I289">
        <f t="shared" si="9"/>
        <v>1</v>
      </c>
      <c r="J289">
        <v>8.57</v>
      </c>
      <c r="K289">
        <v>50</v>
      </c>
      <c r="L289" t="str">
        <f>CONCATENATE('Fixed Deposit'!C289," ",'Fixed Deposit'!K289)</f>
        <v>Shriram Finance 50</v>
      </c>
      <c r="M289" s="12">
        <f>VLOOKUP(L289,'Commercials '!$C$1:$D$15,2,)</f>
        <v>1.11E-2</v>
      </c>
      <c r="N289" s="13">
        <f t="shared" si="8"/>
        <v>122.10000000000001</v>
      </c>
    </row>
    <row r="290" spans="1:14" x14ac:dyDescent="0.25">
      <c r="A290" t="s">
        <v>10</v>
      </c>
      <c r="B290" t="s">
        <v>1041</v>
      </c>
      <c r="C290" t="s">
        <v>12</v>
      </c>
      <c r="D290" t="s">
        <v>1042</v>
      </c>
      <c r="E290" t="s">
        <v>1043</v>
      </c>
      <c r="F290" t="s">
        <v>1044</v>
      </c>
      <c r="G290" s="2">
        <v>5000</v>
      </c>
      <c r="H290" t="s">
        <v>1045</v>
      </c>
      <c r="I290">
        <f t="shared" si="9"/>
        <v>1</v>
      </c>
      <c r="J290">
        <v>8.4700000000000006</v>
      </c>
      <c r="K290">
        <v>50</v>
      </c>
      <c r="L290" t="str">
        <f>CONCATENATE('Fixed Deposit'!C290," ",'Fixed Deposit'!K290)</f>
        <v>Shriram Finance 50</v>
      </c>
      <c r="M290" s="12">
        <f>VLOOKUP(L290,'Commercials '!$C$1:$D$15,2,)</f>
        <v>1.11E-2</v>
      </c>
      <c r="N290" s="13">
        <f t="shared" si="8"/>
        <v>55.5</v>
      </c>
    </row>
    <row r="291" spans="1:14" x14ac:dyDescent="0.25">
      <c r="A291" t="s">
        <v>10</v>
      </c>
      <c r="B291" t="s">
        <v>982</v>
      </c>
      <c r="C291" t="s">
        <v>12</v>
      </c>
      <c r="D291" t="s">
        <v>1046</v>
      </c>
      <c r="E291" t="s">
        <v>1047</v>
      </c>
      <c r="F291" t="s">
        <v>985</v>
      </c>
      <c r="G291" s="2">
        <v>12000</v>
      </c>
      <c r="H291" t="s">
        <v>1045</v>
      </c>
      <c r="I291">
        <f t="shared" si="9"/>
        <v>1</v>
      </c>
      <c r="J291">
        <v>9.07</v>
      </c>
      <c r="K291">
        <v>60</v>
      </c>
      <c r="L291" t="str">
        <f>CONCATENATE('Fixed Deposit'!C291," ",'Fixed Deposit'!K291)</f>
        <v>Shriram Finance 60</v>
      </c>
      <c r="M291" s="12">
        <f>VLOOKUP(L291,'Commercials '!$C$1:$D$15,2,)</f>
        <v>1.1900000000000001E-2</v>
      </c>
      <c r="N291" s="13">
        <f t="shared" si="8"/>
        <v>142.80000000000001</v>
      </c>
    </row>
    <row r="292" spans="1:14" x14ac:dyDescent="0.25">
      <c r="A292" t="s">
        <v>10</v>
      </c>
      <c r="B292" t="s">
        <v>619</v>
      </c>
      <c r="C292" t="s">
        <v>12</v>
      </c>
      <c r="D292" t="s">
        <v>1048</v>
      </c>
      <c r="E292" t="s">
        <v>1049</v>
      </c>
      <c r="F292" t="s">
        <v>622</v>
      </c>
      <c r="G292" s="2">
        <v>11000</v>
      </c>
      <c r="H292" t="s">
        <v>1050</v>
      </c>
      <c r="I292">
        <f t="shared" si="9"/>
        <v>1</v>
      </c>
      <c r="J292">
        <v>7.59</v>
      </c>
      <c r="K292">
        <v>12</v>
      </c>
      <c r="L292" t="str">
        <f>CONCATENATE('Fixed Deposit'!C292," ",'Fixed Deposit'!K292)</f>
        <v>Shriram Finance 12</v>
      </c>
      <c r="M292" s="12">
        <f>VLOOKUP(L292,'Commercials '!$C$1:$D$15,2,)</f>
        <v>2.5999999999999999E-3</v>
      </c>
      <c r="N292" s="13">
        <f t="shared" si="8"/>
        <v>28.599999999999998</v>
      </c>
    </row>
    <row r="293" spans="1:14" x14ac:dyDescent="0.25">
      <c r="A293" t="s">
        <v>10</v>
      </c>
      <c r="B293" t="s">
        <v>1051</v>
      </c>
      <c r="C293" t="s">
        <v>12</v>
      </c>
      <c r="D293" t="s">
        <v>1052</v>
      </c>
      <c r="E293" t="s">
        <v>1053</v>
      </c>
      <c r="F293" t="s">
        <v>1054</v>
      </c>
      <c r="G293" s="2">
        <v>5000</v>
      </c>
      <c r="H293" t="s">
        <v>1055</v>
      </c>
      <c r="I293">
        <f t="shared" si="9"/>
        <v>1</v>
      </c>
      <c r="J293">
        <v>7.59</v>
      </c>
      <c r="K293">
        <v>12</v>
      </c>
      <c r="L293" t="str">
        <f>CONCATENATE('Fixed Deposit'!C293," ",'Fixed Deposit'!K293)</f>
        <v>Shriram Finance 12</v>
      </c>
      <c r="M293" s="12">
        <f>VLOOKUP(L293,'Commercials '!$C$1:$D$15,2,)</f>
        <v>2.5999999999999999E-3</v>
      </c>
      <c r="N293" s="13">
        <f t="shared" si="8"/>
        <v>13</v>
      </c>
    </row>
    <row r="294" spans="1:14" x14ac:dyDescent="0.25">
      <c r="A294" t="s">
        <v>10</v>
      </c>
      <c r="B294" t="s">
        <v>1056</v>
      </c>
      <c r="C294" t="s">
        <v>12</v>
      </c>
      <c r="D294" t="s">
        <v>1057</v>
      </c>
      <c r="E294" t="s">
        <v>1058</v>
      </c>
      <c r="F294" t="s">
        <v>1059</v>
      </c>
      <c r="G294" s="2">
        <v>20000</v>
      </c>
      <c r="H294" t="s">
        <v>1055</v>
      </c>
      <c r="I294">
        <f t="shared" si="9"/>
        <v>1</v>
      </c>
      <c r="J294">
        <v>8.57</v>
      </c>
      <c r="K294">
        <v>60</v>
      </c>
      <c r="L294" t="str">
        <f>CONCATENATE('Fixed Deposit'!C294," ",'Fixed Deposit'!K294)</f>
        <v>Shriram Finance 60</v>
      </c>
      <c r="M294" s="12">
        <f>VLOOKUP(L294,'Commercials '!$C$1:$D$15,2,)</f>
        <v>1.1900000000000001E-2</v>
      </c>
      <c r="N294" s="13">
        <f t="shared" si="8"/>
        <v>238.00000000000003</v>
      </c>
    </row>
    <row r="295" spans="1:14" x14ac:dyDescent="0.25">
      <c r="A295" t="s">
        <v>10</v>
      </c>
      <c r="B295" t="s">
        <v>1060</v>
      </c>
      <c r="C295" t="s">
        <v>12</v>
      </c>
      <c r="D295" t="s">
        <v>1061</v>
      </c>
      <c r="E295" t="s">
        <v>1062</v>
      </c>
      <c r="F295" t="s">
        <v>1063</v>
      </c>
      <c r="G295" s="2">
        <v>99000</v>
      </c>
      <c r="H295" t="s">
        <v>1055</v>
      </c>
      <c r="I295">
        <f t="shared" si="9"/>
        <v>1</v>
      </c>
      <c r="J295">
        <v>8.4700000000000006</v>
      </c>
      <c r="K295">
        <v>60</v>
      </c>
      <c r="L295" t="str">
        <f>CONCATENATE('Fixed Deposit'!C295," ",'Fixed Deposit'!K295)</f>
        <v>Shriram Finance 60</v>
      </c>
      <c r="M295" s="12">
        <f>VLOOKUP(L295,'Commercials '!$C$1:$D$15,2,)</f>
        <v>1.1900000000000001E-2</v>
      </c>
      <c r="N295" s="13">
        <f t="shared" si="8"/>
        <v>1178.1000000000001</v>
      </c>
    </row>
    <row r="296" spans="1:14" x14ac:dyDescent="0.25">
      <c r="A296" t="s">
        <v>10</v>
      </c>
      <c r="B296" t="s">
        <v>952</v>
      </c>
      <c r="C296" t="s">
        <v>12</v>
      </c>
      <c r="D296" t="s">
        <v>1064</v>
      </c>
      <c r="E296" t="s">
        <v>1065</v>
      </c>
      <c r="F296" t="s">
        <v>955</v>
      </c>
      <c r="G296" s="2">
        <v>51000</v>
      </c>
      <c r="H296" t="s">
        <v>1066</v>
      </c>
      <c r="I296">
        <f t="shared" si="9"/>
        <v>1</v>
      </c>
      <c r="J296">
        <v>7.59</v>
      </c>
      <c r="K296">
        <v>12</v>
      </c>
      <c r="L296" t="str">
        <f>CONCATENATE('Fixed Deposit'!C296," ",'Fixed Deposit'!K296)</f>
        <v>Shriram Finance 12</v>
      </c>
      <c r="M296" s="12">
        <f>VLOOKUP(L296,'Commercials '!$C$1:$D$15,2,)</f>
        <v>2.5999999999999999E-3</v>
      </c>
      <c r="N296" s="13">
        <f t="shared" si="8"/>
        <v>132.6</v>
      </c>
    </row>
    <row r="297" spans="1:14" x14ac:dyDescent="0.25">
      <c r="A297" t="s">
        <v>10</v>
      </c>
      <c r="B297" t="s">
        <v>417</v>
      </c>
      <c r="C297" t="s">
        <v>12</v>
      </c>
      <c r="D297" t="s">
        <v>1067</v>
      </c>
      <c r="E297" t="s">
        <v>1068</v>
      </c>
      <c r="F297" t="s">
        <v>420</v>
      </c>
      <c r="G297" s="2">
        <v>11000</v>
      </c>
      <c r="H297" t="s">
        <v>1066</v>
      </c>
      <c r="I297">
        <f t="shared" si="9"/>
        <v>1</v>
      </c>
      <c r="J297">
        <v>8.57</v>
      </c>
      <c r="K297">
        <v>60</v>
      </c>
      <c r="L297" t="str">
        <f>CONCATENATE('Fixed Deposit'!C297," ",'Fixed Deposit'!K297)</f>
        <v>Shriram Finance 60</v>
      </c>
      <c r="M297" s="12">
        <f>VLOOKUP(L297,'Commercials '!$C$1:$D$15,2,)</f>
        <v>1.1900000000000001E-2</v>
      </c>
      <c r="N297" s="13">
        <f t="shared" si="8"/>
        <v>130.9</v>
      </c>
    </row>
    <row r="298" spans="1:14" x14ac:dyDescent="0.25">
      <c r="A298" t="s">
        <v>10</v>
      </c>
      <c r="B298" t="s">
        <v>619</v>
      </c>
      <c r="C298" t="s">
        <v>12</v>
      </c>
      <c r="D298" t="s">
        <v>1069</v>
      </c>
      <c r="E298" t="s">
        <v>1070</v>
      </c>
      <c r="F298" t="s">
        <v>622</v>
      </c>
      <c r="G298" s="2">
        <v>5000</v>
      </c>
      <c r="H298" t="s">
        <v>1071</v>
      </c>
      <c r="I298">
        <f t="shared" si="9"/>
        <v>1</v>
      </c>
      <c r="J298">
        <v>7.59</v>
      </c>
      <c r="K298">
        <v>12</v>
      </c>
      <c r="L298" t="str">
        <f>CONCATENATE('Fixed Deposit'!C298," ",'Fixed Deposit'!K298)</f>
        <v>Shriram Finance 12</v>
      </c>
      <c r="M298" s="12">
        <f>VLOOKUP(L298,'Commercials '!$C$1:$D$15,2,)</f>
        <v>2.5999999999999999E-3</v>
      </c>
      <c r="N298" s="13">
        <f t="shared" si="8"/>
        <v>13</v>
      </c>
    </row>
    <row r="299" spans="1:14" x14ac:dyDescent="0.25">
      <c r="A299" t="s">
        <v>10</v>
      </c>
      <c r="B299" t="s">
        <v>1072</v>
      </c>
      <c r="C299" t="s">
        <v>12</v>
      </c>
      <c r="D299" t="s">
        <v>1073</v>
      </c>
      <c r="E299" t="s">
        <v>1074</v>
      </c>
      <c r="F299" t="s">
        <v>1075</v>
      </c>
      <c r="G299" s="2">
        <v>7000</v>
      </c>
      <c r="H299" t="s">
        <v>1076</v>
      </c>
      <c r="I299">
        <f t="shared" si="9"/>
        <v>1</v>
      </c>
      <c r="J299">
        <v>8.4700000000000006</v>
      </c>
      <c r="K299">
        <v>50</v>
      </c>
      <c r="L299" t="str">
        <f>CONCATENATE('Fixed Deposit'!C299," ",'Fixed Deposit'!K299)</f>
        <v>Shriram Finance 50</v>
      </c>
      <c r="M299" s="12">
        <f>VLOOKUP(L299,'Commercials '!$C$1:$D$15,2,)</f>
        <v>1.11E-2</v>
      </c>
      <c r="N299" s="13">
        <f t="shared" si="8"/>
        <v>77.7</v>
      </c>
    </row>
    <row r="300" spans="1:14" x14ac:dyDescent="0.25">
      <c r="A300" t="s">
        <v>10</v>
      </c>
      <c r="B300" t="s">
        <v>67</v>
      </c>
      <c r="C300" t="s">
        <v>12</v>
      </c>
      <c r="D300" t="s">
        <v>1077</v>
      </c>
      <c r="E300" t="s">
        <v>1078</v>
      </c>
      <c r="F300" t="s">
        <v>70</v>
      </c>
      <c r="G300" s="2">
        <v>7000</v>
      </c>
      <c r="H300" t="s">
        <v>1076</v>
      </c>
      <c r="I300">
        <f t="shared" si="9"/>
        <v>1</v>
      </c>
      <c r="J300">
        <v>8.4700000000000006</v>
      </c>
      <c r="K300">
        <v>50</v>
      </c>
      <c r="L300" t="str">
        <f>CONCATENATE('Fixed Deposit'!C300," ",'Fixed Deposit'!K300)</f>
        <v>Shriram Finance 50</v>
      </c>
      <c r="M300" s="12">
        <f>VLOOKUP(L300,'Commercials '!$C$1:$D$15,2,)</f>
        <v>1.11E-2</v>
      </c>
      <c r="N300" s="13">
        <f t="shared" si="8"/>
        <v>77.7</v>
      </c>
    </row>
    <row r="301" spans="1:14" x14ac:dyDescent="0.25">
      <c r="A301" t="s">
        <v>10</v>
      </c>
      <c r="B301" t="s">
        <v>821</v>
      </c>
      <c r="C301" t="s">
        <v>12</v>
      </c>
      <c r="D301" t="s">
        <v>1079</v>
      </c>
      <c r="E301" t="s">
        <v>1080</v>
      </c>
      <c r="F301" t="s">
        <v>824</v>
      </c>
      <c r="G301" s="2">
        <v>7000</v>
      </c>
      <c r="H301" t="s">
        <v>1081</v>
      </c>
      <c r="I301">
        <f t="shared" si="9"/>
        <v>1</v>
      </c>
      <c r="J301">
        <v>8.4700000000000006</v>
      </c>
      <c r="K301">
        <v>50</v>
      </c>
      <c r="L301" t="str">
        <f>CONCATENATE('Fixed Deposit'!C301," ",'Fixed Deposit'!K301)</f>
        <v>Shriram Finance 50</v>
      </c>
      <c r="M301" s="12">
        <f>VLOOKUP(L301,'Commercials '!$C$1:$D$15,2,)</f>
        <v>1.11E-2</v>
      </c>
      <c r="N301" s="13">
        <f t="shared" si="8"/>
        <v>77.7</v>
      </c>
    </row>
    <row r="302" spans="1:14" x14ac:dyDescent="0.25">
      <c r="A302" t="s">
        <v>10</v>
      </c>
      <c r="B302" t="s">
        <v>619</v>
      </c>
      <c r="C302" t="s">
        <v>12</v>
      </c>
      <c r="D302" t="s">
        <v>1082</v>
      </c>
      <c r="E302" t="s">
        <v>1083</v>
      </c>
      <c r="F302" t="s">
        <v>622</v>
      </c>
      <c r="G302" s="2">
        <v>14000</v>
      </c>
      <c r="H302" t="s">
        <v>1084</v>
      </c>
      <c r="I302">
        <v>1</v>
      </c>
      <c r="J302">
        <v>7.59</v>
      </c>
      <c r="K302">
        <v>12</v>
      </c>
      <c r="L302" t="str">
        <f>CONCATENATE('Fixed Deposit'!C302," ",'Fixed Deposit'!K302)</f>
        <v>Shriram Finance 12</v>
      </c>
      <c r="M302" s="12">
        <f>VLOOKUP(L302,'Commercials '!$C$1:$D$15,2,)</f>
        <v>2.5999999999999999E-3</v>
      </c>
      <c r="N302" s="13">
        <f t="shared" si="8"/>
        <v>36.4</v>
      </c>
    </row>
    <row r="303" spans="1:14" x14ac:dyDescent="0.25">
      <c r="A303" t="s">
        <v>10</v>
      </c>
      <c r="B303" t="s">
        <v>619</v>
      </c>
      <c r="C303" t="s">
        <v>12</v>
      </c>
      <c r="D303" t="s">
        <v>1085</v>
      </c>
      <c r="E303" t="s">
        <v>1086</v>
      </c>
      <c r="F303" t="s">
        <v>622</v>
      </c>
      <c r="G303" s="2">
        <v>5000</v>
      </c>
      <c r="H303" t="s">
        <v>1084</v>
      </c>
      <c r="I303">
        <v>1</v>
      </c>
      <c r="J303">
        <v>7.59</v>
      </c>
      <c r="K303">
        <v>12</v>
      </c>
      <c r="L303" t="str">
        <f>CONCATENATE('Fixed Deposit'!C303," ",'Fixed Deposit'!K303)</f>
        <v>Shriram Finance 12</v>
      </c>
      <c r="M303" s="12">
        <f>VLOOKUP(L303,'Commercials '!$C$1:$D$15,2,)</f>
        <v>2.5999999999999999E-3</v>
      </c>
      <c r="N303" s="13">
        <f t="shared" si="8"/>
        <v>13</v>
      </c>
    </row>
    <row r="304" spans="1:14" x14ac:dyDescent="0.25">
      <c r="M304" s="14" t="s">
        <v>1113</v>
      </c>
      <c r="N304" s="15">
        <f>SUM(N2:N303)</f>
        <v>68847.199999999983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5"/>
  <sheetViews>
    <sheetView workbookViewId="0">
      <selection activeCell="A6" sqref="A6:XFD6"/>
    </sheetView>
  </sheetViews>
  <sheetFormatPr defaultRowHeight="15" x14ac:dyDescent="0.25"/>
  <cols>
    <col min="1" max="1" width="15.85546875" bestFit="1" customWidth="1"/>
    <col min="2" max="2" width="6.7109375" bestFit="1" customWidth="1"/>
    <col min="3" max="3" width="18.42578125" bestFit="1" customWidth="1"/>
    <col min="4" max="4" width="5.85546875" bestFit="1" customWidth="1"/>
    <col min="6" max="6" width="9.7109375" bestFit="1" customWidth="1"/>
    <col min="7" max="7" width="9.140625" bestFit="1" customWidth="1"/>
    <col min="9" max="9" width="9.7109375" bestFit="1" customWidth="1"/>
    <col min="10" max="10" width="4.85546875" bestFit="1" customWidth="1"/>
    <col min="12" max="12" width="21.5703125" bestFit="1" customWidth="1"/>
    <col min="13" max="13" width="4.85546875" bestFit="1" customWidth="1"/>
  </cols>
  <sheetData>
    <row r="1" spans="1:13" x14ac:dyDescent="0.25">
      <c r="A1" s="3" t="s">
        <v>2</v>
      </c>
      <c r="B1" s="3" t="s">
        <v>1087</v>
      </c>
      <c r="C1" s="3" t="s">
        <v>1088</v>
      </c>
      <c r="D1" s="3" t="s">
        <v>1089</v>
      </c>
      <c r="F1" s="28" t="s">
        <v>1090</v>
      </c>
      <c r="G1" s="28"/>
      <c r="I1" s="28" t="s">
        <v>1091</v>
      </c>
      <c r="J1" s="28"/>
      <c r="L1" s="28" t="s">
        <v>1092</v>
      </c>
      <c r="M1" s="28"/>
    </row>
    <row r="2" spans="1:13" x14ac:dyDescent="0.25">
      <c r="A2" t="s">
        <v>31</v>
      </c>
      <c r="B2" s="4">
        <v>12</v>
      </c>
      <c r="C2" s="4" t="str">
        <f>CONCATENATE(A2," ",B2)</f>
        <v>Bajaj Finance Ltd 12</v>
      </c>
      <c r="D2" s="5">
        <v>4.7000000000000002E-3</v>
      </c>
      <c r="F2" s="6" t="s">
        <v>1093</v>
      </c>
      <c r="G2" s="6" t="s">
        <v>10</v>
      </c>
      <c r="I2" s="6" t="s">
        <v>1093</v>
      </c>
      <c r="J2" s="6" t="s">
        <v>1094</v>
      </c>
      <c r="L2" s="6" t="s">
        <v>1093</v>
      </c>
      <c r="M2" s="7" t="s">
        <v>1094</v>
      </c>
    </row>
    <row r="3" spans="1:13" x14ac:dyDescent="0.25">
      <c r="A3" t="s">
        <v>31</v>
      </c>
      <c r="B3" s="4">
        <v>18</v>
      </c>
      <c r="C3" s="4" t="str">
        <f t="shared" ref="C3:C15" si="0">CONCATENATE(A3," ",B3)</f>
        <v>Bajaj Finance Ltd 18</v>
      </c>
      <c r="D3" s="5">
        <v>4.7000000000000002E-3</v>
      </c>
      <c r="F3" s="8" t="s">
        <v>1095</v>
      </c>
      <c r="G3" s="9">
        <v>1.1000000000000001</v>
      </c>
      <c r="I3" s="8" t="s">
        <v>1095</v>
      </c>
      <c r="J3" s="8">
        <v>0.26</v>
      </c>
      <c r="L3" s="8" t="s">
        <v>1096</v>
      </c>
      <c r="M3" s="8">
        <v>0.47</v>
      </c>
    </row>
    <row r="4" spans="1:13" x14ac:dyDescent="0.25">
      <c r="A4" t="s">
        <v>31</v>
      </c>
      <c r="B4" s="4">
        <v>22</v>
      </c>
      <c r="C4" s="4" t="str">
        <f t="shared" si="0"/>
        <v>Bajaj Finance Ltd 22</v>
      </c>
      <c r="D4" s="5">
        <v>4.7000000000000002E-3</v>
      </c>
      <c r="F4" s="8" t="s">
        <v>1097</v>
      </c>
      <c r="G4" s="9"/>
      <c r="I4" s="8" t="s">
        <v>1098</v>
      </c>
      <c r="J4" s="8">
        <v>0.26</v>
      </c>
      <c r="L4" s="8" t="s">
        <v>1097</v>
      </c>
      <c r="M4" s="8">
        <v>0.43</v>
      </c>
    </row>
    <row r="5" spans="1:13" x14ac:dyDescent="0.25">
      <c r="A5" t="s">
        <v>31</v>
      </c>
      <c r="B5" s="4">
        <v>42</v>
      </c>
      <c r="C5" s="4" t="str">
        <f t="shared" si="0"/>
        <v>Bajaj Finance Ltd 42</v>
      </c>
      <c r="D5" s="5">
        <v>9.7999999999999997E-3</v>
      </c>
      <c r="F5" s="8" t="s">
        <v>1099</v>
      </c>
      <c r="G5" s="9">
        <v>0.34</v>
      </c>
      <c r="I5" s="8" t="s">
        <v>1099</v>
      </c>
      <c r="J5" s="8">
        <v>0.51</v>
      </c>
      <c r="L5" s="8" t="s">
        <v>1100</v>
      </c>
      <c r="M5" s="8">
        <v>0.68</v>
      </c>
    </row>
    <row r="6" spans="1:13" x14ac:dyDescent="0.25">
      <c r="A6" t="s">
        <v>393</v>
      </c>
      <c r="B6" s="4">
        <v>12</v>
      </c>
      <c r="C6" s="4" t="str">
        <f t="shared" si="0"/>
        <v>Mahindra Finance 12</v>
      </c>
      <c r="D6" s="5">
        <v>9.7999999999999997E-3</v>
      </c>
      <c r="F6" s="8" t="s">
        <v>1101</v>
      </c>
      <c r="G6" s="9"/>
      <c r="I6" s="8" t="s">
        <v>1101</v>
      </c>
      <c r="J6" s="8">
        <v>0.51</v>
      </c>
      <c r="L6" s="8" t="s">
        <v>1102</v>
      </c>
      <c r="M6" s="8">
        <v>0.98</v>
      </c>
    </row>
    <row r="7" spans="1:13" x14ac:dyDescent="0.25">
      <c r="A7" t="s">
        <v>393</v>
      </c>
      <c r="B7" s="4">
        <v>36</v>
      </c>
      <c r="C7" s="4" t="str">
        <f t="shared" si="0"/>
        <v>Mahindra Finance 36</v>
      </c>
      <c r="D7" s="5">
        <v>6.7999999999999996E-3</v>
      </c>
      <c r="F7" s="8" t="s">
        <v>1103</v>
      </c>
      <c r="G7" s="9">
        <v>0.68</v>
      </c>
      <c r="I7" s="8" t="s">
        <v>1103</v>
      </c>
      <c r="J7" s="8">
        <v>1.02</v>
      </c>
      <c r="L7" s="8" t="s">
        <v>1104</v>
      </c>
      <c r="M7" s="8"/>
    </row>
    <row r="8" spans="1:13" x14ac:dyDescent="0.25">
      <c r="A8" s="4" t="s">
        <v>12</v>
      </c>
      <c r="B8" s="4">
        <v>12</v>
      </c>
      <c r="C8" s="4" t="str">
        <f>CONCATENATE(A8," ",B8)</f>
        <v>Shriram Finance 12</v>
      </c>
      <c r="D8" s="5">
        <v>2.5999999999999999E-3</v>
      </c>
      <c r="F8" s="8" t="s">
        <v>1104</v>
      </c>
      <c r="G8" s="9"/>
      <c r="I8" s="8" t="s">
        <v>1104</v>
      </c>
      <c r="J8" s="8">
        <v>1.02</v>
      </c>
      <c r="L8" s="8" t="s">
        <v>1105</v>
      </c>
      <c r="M8" s="8">
        <v>0.89</v>
      </c>
    </row>
    <row r="9" spans="1:13" x14ac:dyDescent="0.25">
      <c r="A9" s="4" t="s">
        <v>12</v>
      </c>
      <c r="B9" s="4">
        <v>18</v>
      </c>
      <c r="C9" s="4" t="str">
        <f t="shared" si="0"/>
        <v>Shriram Finance 18</v>
      </c>
      <c r="D9" s="5">
        <v>2.5999999999999999E-3</v>
      </c>
      <c r="F9" s="8" t="s">
        <v>1106</v>
      </c>
      <c r="G9" s="9">
        <v>0.77</v>
      </c>
      <c r="I9" s="8" t="s">
        <v>1107</v>
      </c>
      <c r="J9" s="8">
        <v>1.1100000000000001</v>
      </c>
      <c r="L9" s="8" t="s">
        <v>1108</v>
      </c>
      <c r="M9" s="8">
        <v>1.32</v>
      </c>
    </row>
    <row r="10" spans="1:13" x14ac:dyDescent="0.25">
      <c r="A10" s="4" t="s">
        <v>12</v>
      </c>
      <c r="B10" s="4">
        <v>24</v>
      </c>
      <c r="C10" s="4" t="str">
        <f t="shared" si="0"/>
        <v>Shriram Finance 24</v>
      </c>
      <c r="D10" s="5">
        <v>5.1000000000000004E-3</v>
      </c>
      <c r="F10" s="8" t="s">
        <v>1109</v>
      </c>
      <c r="G10" s="9">
        <v>0.85</v>
      </c>
      <c r="I10" s="8" t="s">
        <v>1109</v>
      </c>
      <c r="J10" s="8">
        <v>1.19</v>
      </c>
    </row>
    <row r="11" spans="1:13" x14ac:dyDescent="0.25">
      <c r="A11" s="4" t="s">
        <v>12</v>
      </c>
      <c r="B11" s="4">
        <v>30</v>
      </c>
      <c r="C11" s="4" t="str">
        <f t="shared" si="0"/>
        <v>Shriram Finance 30</v>
      </c>
      <c r="D11" s="5">
        <v>5.1000000000000004E-3</v>
      </c>
    </row>
    <row r="12" spans="1:13" x14ac:dyDescent="0.25">
      <c r="A12" s="4" t="s">
        <v>12</v>
      </c>
      <c r="B12" s="4">
        <v>36</v>
      </c>
      <c r="C12" s="4" t="str">
        <f t="shared" si="0"/>
        <v>Shriram Finance 36</v>
      </c>
      <c r="D12" s="5">
        <v>1.0200000000000001E-2</v>
      </c>
    </row>
    <row r="13" spans="1:13" x14ac:dyDescent="0.25">
      <c r="A13" s="4" t="s">
        <v>12</v>
      </c>
      <c r="B13" s="4">
        <v>42</v>
      </c>
      <c r="C13" s="4" t="str">
        <f t="shared" si="0"/>
        <v>Shriram Finance 42</v>
      </c>
      <c r="D13" s="5">
        <v>1.0200000000000001E-2</v>
      </c>
    </row>
    <row r="14" spans="1:13" x14ac:dyDescent="0.25">
      <c r="A14" s="4" t="s">
        <v>12</v>
      </c>
      <c r="B14" s="4">
        <v>50</v>
      </c>
      <c r="C14" s="4" t="str">
        <f t="shared" si="0"/>
        <v>Shriram Finance 50</v>
      </c>
      <c r="D14" s="5">
        <v>1.11E-2</v>
      </c>
    </row>
    <row r="15" spans="1:13" x14ac:dyDescent="0.25">
      <c r="A15" s="4" t="s">
        <v>12</v>
      </c>
      <c r="B15" s="4">
        <v>60</v>
      </c>
      <c r="C15" s="4" t="str">
        <f t="shared" si="0"/>
        <v>Shriram Finance 60</v>
      </c>
      <c r="D15" s="5">
        <v>1.1900000000000001E-2</v>
      </c>
    </row>
  </sheetData>
  <mergeCells count="3">
    <mergeCell ref="F1:G1"/>
    <mergeCell ref="I1:J1"/>
    <mergeCell ref="L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MBK_NBFC</vt:lpstr>
      <vt:lpstr>Fixed Deposit</vt:lpstr>
      <vt:lpstr>Commercials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2025-08-11T06:57:27Z</dcterms:created>
  <dcterms:modified xsi:type="dcterms:W3CDTF">2025-08-18T08:47:27Z</dcterms:modified>
  <cp:category/>
</cp:coreProperties>
</file>